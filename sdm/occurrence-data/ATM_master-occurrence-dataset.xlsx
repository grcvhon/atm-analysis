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1235304\Dropbox\Short-nosed and Leaf-scaled sea snake TSSC\atm-analysis\sdm\occurrence-data\"/>
    </mc:Choice>
  </mc:AlternateContent>
  <xr:revisionPtr revIDLastSave="0" documentId="13_ncr:1_{0237AEBB-060B-4FA4-9342-2DCDE00C8D5F}" xr6:coauthVersionLast="47" xr6:coauthVersionMax="47" xr10:uidLastSave="{00000000-0000-0000-0000-000000000000}"/>
  <bookViews>
    <workbookView xWindow="5985" yWindow="-15210" windowWidth="22800" windowHeight="14010" xr2:uid="{525E64F3-0C78-42FB-B77C-71F497DDA2A8}"/>
  </bookViews>
  <sheets>
    <sheet name="Sheet1" sheetId="1" r:id="rId1"/>
    <sheet name="Sheet2" sheetId="2" r:id="rId2"/>
  </sheets>
  <definedNames>
    <definedName name="_xlnm._FilterDatabase" localSheetId="0" hidden="1">Sheet1!$A$1:$Z$380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39" i="1" l="1"/>
  <c r="M439" i="1"/>
  <c r="L439" i="1"/>
  <c r="L437" i="1"/>
  <c r="M437" i="1"/>
  <c r="M436" i="1"/>
  <c r="M435" i="1"/>
  <c r="L435" i="1"/>
  <c r="L436" i="1"/>
  <c r="M434" i="1"/>
  <c r="L434" i="1"/>
  <c r="M225" i="1"/>
  <c r="M226" i="1"/>
  <c r="M227" i="1"/>
  <c r="M228" i="1"/>
  <c r="M229" i="1"/>
  <c r="M230" i="1"/>
  <c r="M231" i="1"/>
  <c r="M232" i="1"/>
  <c r="M233" i="1"/>
  <c r="M234" i="1"/>
  <c r="M224" i="1"/>
  <c r="L225" i="1"/>
  <c r="L226" i="1"/>
  <c r="L227" i="1"/>
  <c r="L228" i="1"/>
  <c r="L229" i="1"/>
  <c r="L230" i="1"/>
  <c r="L231" i="1"/>
  <c r="L232" i="1"/>
  <c r="L233" i="1"/>
  <c r="L234" i="1"/>
  <c r="L224" i="1"/>
</calcChain>
</file>

<file path=xl/sharedStrings.xml><?xml version="1.0" encoding="utf-8"?>
<sst xmlns="http://schemas.openxmlformats.org/spreadsheetml/2006/main" count="2619" uniqueCount="539">
  <si>
    <t>Source</t>
  </si>
  <si>
    <t>SamplingMethod</t>
  </si>
  <si>
    <t>SampleID</t>
  </si>
  <si>
    <t>Genus</t>
  </si>
  <si>
    <t>Species</t>
  </si>
  <si>
    <t>CollectionDate</t>
  </si>
  <si>
    <t>Location</t>
  </si>
  <si>
    <t>Latitude</t>
  </si>
  <si>
    <t>Longitude</t>
  </si>
  <si>
    <t>StartLat</t>
  </si>
  <si>
    <t>StartLong</t>
  </si>
  <si>
    <t>MidLat</t>
  </si>
  <si>
    <t>MidLong</t>
  </si>
  <si>
    <t>EndLat</t>
  </si>
  <si>
    <t>EndLong</t>
  </si>
  <si>
    <t>ReleaseLat</t>
  </si>
  <si>
    <t>ReleaseLong</t>
  </si>
  <si>
    <t>ShotDuration</t>
  </si>
  <si>
    <t>Sex</t>
  </si>
  <si>
    <t>DArTseq</t>
  </si>
  <si>
    <t>Weight_g</t>
  </si>
  <si>
    <t>SVL_cm</t>
  </si>
  <si>
    <t>TailL_cm</t>
  </si>
  <si>
    <t>PIT_tag</t>
  </si>
  <si>
    <t>Notes</t>
  </si>
  <si>
    <t>Depth_m</t>
  </si>
  <si>
    <t>Trawl</t>
  </si>
  <si>
    <t>Details on which survey, which database</t>
  </si>
  <si>
    <t>How was it collected? Survey, trawl boat (DPIRD, SeaHarvest), etc., Basis of record (for ALA)</t>
  </si>
  <si>
    <t>Field number</t>
  </si>
  <si>
    <t>YYYY-MM-DD</t>
  </si>
  <si>
    <t>Latitude for point collected specimens i.e., scooped via night</t>
  </si>
  <si>
    <t>Longitude for point collected specimens i.e., scooped via night</t>
  </si>
  <si>
    <t>Start latitude of trawl/shot for trawled samples</t>
  </si>
  <si>
    <t>Start longitude of trawl/shot for trawled samples</t>
  </si>
  <si>
    <t>"=AVERAGE(StartLat,EndLat)"</t>
  </si>
  <si>
    <t>"=AVERAGE(StartLong,EndLong)"</t>
  </si>
  <si>
    <t>End latitude of trawl/shot for trawled samples</t>
  </si>
  <si>
    <t>End longitude of trawl/shot for trawled samples</t>
  </si>
  <si>
    <t>Release latitude after marking (if obtained)</t>
  </si>
  <si>
    <t>Release longitude after marking (if obtained)</t>
  </si>
  <si>
    <t>Length of shot in minutes</t>
  </si>
  <si>
    <t>Weight in grams</t>
  </si>
  <si>
    <t>SVL in cm</t>
  </si>
  <si>
    <t>Tail length in cm</t>
  </si>
  <si>
    <t>PIT tag number</t>
  </si>
  <si>
    <t>DArTseq order</t>
  </si>
  <si>
    <t>SS210308-02</t>
  </si>
  <si>
    <t>SS210309-02</t>
  </si>
  <si>
    <t>SS210803-1</t>
  </si>
  <si>
    <t>SS211105</t>
  </si>
  <si>
    <t>SS090405-01</t>
  </si>
  <si>
    <t>SS140818-01</t>
  </si>
  <si>
    <t>SS140818-03</t>
  </si>
  <si>
    <t>SS141120-03</t>
  </si>
  <si>
    <t>SS150211-01</t>
  </si>
  <si>
    <t>SS150216-01</t>
  </si>
  <si>
    <t>SS150217-01</t>
  </si>
  <si>
    <t>SS150316-01</t>
  </si>
  <si>
    <t>SS150316-02</t>
  </si>
  <si>
    <t>SS150318-01</t>
  </si>
  <si>
    <t>SS150412-04</t>
  </si>
  <si>
    <t>SS150412-06</t>
  </si>
  <si>
    <t>SS150413-02</t>
  </si>
  <si>
    <t>SS150512-03</t>
  </si>
  <si>
    <t>SS151110-01</t>
  </si>
  <si>
    <t>SS151113-01</t>
  </si>
  <si>
    <t>SS151114-01</t>
  </si>
  <si>
    <t>SS151118-02</t>
  </si>
  <si>
    <t>SS160225-02</t>
  </si>
  <si>
    <t>SS160226-07</t>
  </si>
  <si>
    <t>SS160427-04</t>
  </si>
  <si>
    <t>SS160428-01</t>
  </si>
  <si>
    <t>SS160430-06</t>
  </si>
  <si>
    <t>SS160430-07</t>
  </si>
  <si>
    <t>SS160430-08</t>
  </si>
  <si>
    <t>SS160501-03</t>
  </si>
  <si>
    <t>SS160505-03</t>
  </si>
  <si>
    <t>SS160505-04</t>
  </si>
  <si>
    <t>SS160505-05</t>
  </si>
  <si>
    <t>SS160630-02</t>
  </si>
  <si>
    <t>SS160826-03</t>
  </si>
  <si>
    <t>SS160826-06</t>
  </si>
  <si>
    <t>SS161118-01</t>
  </si>
  <si>
    <t>SS161119-02</t>
  </si>
  <si>
    <t>SS161122-01</t>
  </si>
  <si>
    <t>SS161126-01</t>
  </si>
  <si>
    <t>SS161128-01</t>
  </si>
  <si>
    <t>SS170221-01</t>
  </si>
  <si>
    <t>SS170223-02</t>
  </si>
  <si>
    <t>SS170223-03</t>
  </si>
  <si>
    <t>SS170224-01</t>
  </si>
  <si>
    <t>SS170224-02</t>
  </si>
  <si>
    <t>SS170320-01</t>
  </si>
  <si>
    <t>SS170321-01</t>
  </si>
  <si>
    <t>SS170519-01</t>
  </si>
  <si>
    <t>SS170519-02</t>
  </si>
  <si>
    <t>SS170519-03</t>
  </si>
  <si>
    <t>SS170519-04</t>
  </si>
  <si>
    <t>SS170519-05</t>
  </si>
  <si>
    <t>SS171014-02</t>
  </si>
  <si>
    <t>SS171018-01</t>
  </si>
  <si>
    <t>SS171018-05</t>
  </si>
  <si>
    <t>SS171107-01</t>
  </si>
  <si>
    <t>SS171108-02</t>
  </si>
  <si>
    <t>SS171108-04</t>
  </si>
  <si>
    <t>SS171108-05</t>
  </si>
  <si>
    <t>SS171110-02</t>
  </si>
  <si>
    <t>SS171115-01</t>
  </si>
  <si>
    <t>SS171116-03</t>
  </si>
  <si>
    <t>SS171116-04</t>
  </si>
  <si>
    <t>SS180310-02</t>
  </si>
  <si>
    <t>SS180311-01</t>
  </si>
  <si>
    <t>SS180311-02</t>
  </si>
  <si>
    <t>SS180311-03</t>
  </si>
  <si>
    <t>SS180313-02</t>
  </si>
  <si>
    <t>SS180314-01</t>
  </si>
  <si>
    <t>SS180315-01</t>
  </si>
  <si>
    <t>SS180315-03</t>
  </si>
  <si>
    <t>SS180315-04</t>
  </si>
  <si>
    <t>SS180316-03</t>
  </si>
  <si>
    <t>SS180318-02</t>
  </si>
  <si>
    <t>SS180507-02</t>
  </si>
  <si>
    <t>SS180507-03</t>
  </si>
  <si>
    <t>SS180610-01</t>
  </si>
  <si>
    <t>SS180610-02</t>
  </si>
  <si>
    <t>SS180611-01</t>
  </si>
  <si>
    <t>SS181104-01</t>
  </si>
  <si>
    <t>SS181110-04</t>
  </si>
  <si>
    <t>SS190225-02</t>
  </si>
  <si>
    <t>SS190226-01</t>
  </si>
  <si>
    <t>SS190226-02</t>
  </si>
  <si>
    <t>SS190228-02</t>
  </si>
  <si>
    <t>SS190302-01</t>
  </si>
  <si>
    <t>SS190304-01</t>
  </si>
  <si>
    <t>SS190329-01</t>
  </si>
  <si>
    <t>SS190428-01</t>
  </si>
  <si>
    <t>SS190626-01</t>
  </si>
  <si>
    <t>SS190629-01</t>
  </si>
  <si>
    <t>SS190629-05</t>
  </si>
  <si>
    <t>SS190629-06</t>
  </si>
  <si>
    <t>SS190630-03</t>
  </si>
  <si>
    <t>SS191024-01</t>
  </si>
  <si>
    <t>SS191114-01</t>
  </si>
  <si>
    <t>SS191116-01</t>
  </si>
  <si>
    <t>SS191116-03</t>
  </si>
  <si>
    <t>SS191116-05</t>
  </si>
  <si>
    <t>SS191117-01</t>
  </si>
  <si>
    <t>SS191117-03</t>
  </si>
  <si>
    <t>SS191117-04</t>
  </si>
  <si>
    <t>SS191118-01</t>
  </si>
  <si>
    <t>SS191118-02</t>
  </si>
  <si>
    <t>SS191119-03</t>
  </si>
  <si>
    <t>SS191121-01</t>
  </si>
  <si>
    <t>SS191123-01</t>
  </si>
  <si>
    <t>SS191123-02</t>
  </si>
  <si>
    <t>SS191123-04</t>
  </si>
  <si>
    <t>SS191124-02</t>
  </si>
  <si>
    <t>SS200220-04</t>
  </si>
  <si>
    <t>SS200220-05</t>
  </si>
  <si>
    <t>SS200221-01</t>
  </si>
  <si>
    <t>SS200223-05</t>
  </si>
  <si>
    <t>SS200223-06</t>
  </si>
  <si>
    <t>SS200223-07</t>
  </si>
  <si>
    <t>SS200225-01</t>
  </si>
  <si>
    <t>SS200316-01</t>
  </si>
  <si>
    <t>SS200611-01</t>
  </si>
  <si>
    <t>SS200612-02</t>
  </si>
  <si>
    <t>SS201112-05</t>
  </si>
  <si>
    <t>SS201114-01</t>
  </si>
  <si>
    <t>SS201115-04</t>
  </si>
  <si>
    <t>SS201115-05</t>
  </si>
  <si>
    <t>SS201116-01</t>
  </si>
  <si>
    <t>SS201118-02</t>
  </si>
  <si>
    <t>SS201119-02</t>
  </si>
  <si>
    <t>SS210212-03</t>
  </si>
  <si>
    <t>SS210212-04</t>
  </si>
  <si>
    <t>SS210213-01</t>
  </si>
  <si>
    <t>SS210213-02</t>
  </si>
  <si>
    <t>SS210213-04</t>
  </si>
  <si>
    <t>SS210213-05</t>
  </si>
  <si>
    <t>SS210213-06</t>
  </si>
  <si>
    <t>SS210214-02</t>
  </si>
  <si>
    <t>SS210215-01</t>
  </si>
  <si>
    <t>SS210216-02</t>
  </si>
  <si>
    <t>SS210218-02</t>
  </si>
  <si>
    <t>SS210218-04</t>
  </si>
  <si>
    <t>SS210219-02</t>
  </si>
  <si>
    <t>SS210219-05</t>
  </si>
  <si>
    <t>SS210219-06</t>
  </si>
  <si>
    <t>SS210219-07</t>
  </si>
  <si>
    <t>SS200421-2</t>
  </si>
  <si>
    <t>SS210421</t>
  </si>
  <si>
    <t>SS210801-6</t>
  </si>
  <si>
    <t>SS0210802</t>
  </si>
  <si>
    <t>SS210602-3</t>
  </si>
  <si>
    <t>SS210605-1</t>
  </si>
  <si>
    <t>SS210605-3</t>
  </si>
  <si>
    <t>SS210605-5</t>
  </si>
  <si>
    <t>SS210606-2</t>
  </si>
  <si>
    <t>SS211102-1</t>
  </si>
  <si>
    <t>SS211102-2</t>
  </si>
  <si>
    <t>SS141019-01</t>
  </si>
  <si>
    <t>Aipysurus</t>
  </si>
  <si>
    <t>apraefrontalis</t>
  </si>
  <si>
    <t>Exmouth Gulf</t>
  </si>
  <si>
    <t>SS150327-01</t>
  </si>
  <si>
    <t>SS150327-02</t>
  </si>
  <si>
    <t>SS150511-02</t>
  </si>
  <si>
    <t>SS150512-02</t>
  </si>
  <si>
    <t>SS150906-01</t>
  </si>
  <si>
    <t>SS151005-01</t>
  </si>
  <si>
    <t>SS151007-01</t>
  </si>
  <si>
    <t>SS160316-03</t>
  </si>
  <si>
    <t>SS160317-01</t>
  </si>
  <si>
    <t>SS160318-03</t>
  </si>
  <si>
    <t>SS160330-02</t>
  </si>
  <si>
    <t>SS160330-03</t>
  </si>
  <si>
    <t>SS160330-04</t>
  </si>
  <si>
    <t>SS160429-03</t>
  </si>
  <si>
    <t>SS160430-03</t>
  </si>
  <si>
    <t>SS160501-01</t>
  </si>
  <si>
    <t>SS160601-02</t>
  </si>
  <si>
    <t>SS160824-01</t>
  </si>
  <si>
    <t>SS160923-01</t>
  </si>
  <si>
    <t>SS160924-01</t>
  </si>
  <si>
    <t>SS160925-01</t>
  </si>
  <si>
    <t>SS170307-02</t>
  </si>
  <si>
    <t>SS170419-01</t>
  </si>
  <si>
    <t>SS171013-03</t>
  </si>
  <si>
    <t>Pilbara</t>
  </si>
  <si>
    <t>SS191022-02</t>
  </si>
  <si>
    <t>SS200303-02</t>
  </si>
  <si>
    <t>SS200305-03</t>
  </si>
  <si>
    <t>SS200316-02</t>
  </si>
  <si>
    <t>SS200416-04</t>
  </si>
  <si>
    <t>SS200416-05</t>
  </si>
  <si>
    <t>SS200910-01</t>
  </si>
  <si>
    <t>aipysurus</t>
  </si>
  <si>
    <t>Shark Bay</t>
  </si>
  <si>
    <t>foliosquama</t>
  </si>
  <si>
    <t>W25, RV Investigator, from ALA: Catch composition and measurement records from trawling, RV Investigator voyage IN2017_V05, North West Shelf, Australia (2017)</t>
  </si>
  <si>
    <t>W56, RV Investigator</t>
  </si>
  <si>
    <t>W10, RV Investigator</t>
  </si>
  <si>
    <t>W22, RV Investigator</t>
  </si>
  <si>
    <t>KLS1696</t>
  </si>
  <si>
    <t>KLS1700</t>
  </si>
  <si>
    <t>KLS1701</t>
  </si>
  <si>
    <t>KLS1702</t>
  </si>
  <si>
    <t>KLS1707</t>
  </si>
  <si>
    <t>KLS1708</t>
  </si>
  <si>
    <t>KLS1710</t>
  </si>
  <si>
    <t>specimen kept</t>
  </si>
  <si>
    <t>F</t>
  </si>
  <si>
    <t>M</t>
  </si>
  <si>
    <t>ShotDuration_mins</t>
  </si>
  <si>
    <t>KLS1723</t>
  </si>
  <si>
    <t>KLS1815</t>
  </si>
  <si>
    <t>KLS1823</t>
  </si>
  <si>
    <t>KLS1826</t>
  </si>
  <si>
    <t>KLS1827</t>
  </si>
  <si>
    <t>KLS1828</t>
  </si>
  <si>
    <t>KLS1830</t>
  </si>
  <si>
    <t>KLS1831</t>
  </si>
  <si>
    <t>KLS1835</t>
  </si>
  <si>
    <t>KLS1836</t>
  </si>
  <si>
    <t>KLS1837</t>
  </si>
  <si>
    <t>KLS1838</t>
  </si>
  <si>
    <t>KLS1840</t>
  </si>
  <si>
    <t>KLS1841</t>
  </si>
  <si>
    <t>?</t>
  </si>
  <si>
    <t>shot 2</t>
  </si>
  <si>
    <t>shot 55</t>
  </si>
  <si>
    <t>shot 76, DS50</t>
  </si>
  <si>
    <t>shot 79, WC121</t>
  </si>
  <si>
    <t>shot 82, WC44</t>
  </si>
  <si>
    <t>shot 83, WC43</t>
  </si>
  <si>
    <t>shot 90, WC34, released start of shot 91</t>
  </si>
  <si>
    <t>shot 112, WC9</t>
  </si>
  <si>
    <t>shot 113, WC10, released start of shot 114</t>
  </si>
  <si>
    <t>shot 116, WC12</t>
  </si>
  <si>
    <t>shot 121, WC1, released -24° 47.735, 113° 16.328</t>
  </si>
  <si>
    <t>shot 127, KO130, released -24° 47.091, 113° 21.225</t>
  </si>
  <si>
    <t>caught on trawl net on the way to anchor, frozen, specimen kept</t>
  </si>
  <si>
    <t>KLS1846</t>
  </si>
  <si>
    <t>KLS1850</t>
  </si>
  <si>
    <t>KLS1852</t>
  </si>
  <si>
    <t>KLS1853</t>
  </si>
  <si>
    <t>KLS1857</t>
  </si>
  <si>
    <t>KLS1858</t>
  </si>
  <si>
    <t>KLS1859</t>
  </si>
  <si>
    <t>KLS1861</t>
  </si>
  <si>
    <t>KLS1862</t>
  </si>
  <si>
    <t>KLS1863</t>
  </si>
  <si>
    <t>KLS1864</t>
  </si>
  <si>
    <t>KLS1865</t>
  </si>
  <si>
    <t>KLS1867</t>
  </si>
  <si>
    <t>Tagged, not recorded</t>
  </si>
  <si>
    <t>CP47</t>
  </si>
  <si>
    <t>WC14</t>
  </si>
  <si>
    <t>WC33, pregnant</t>
  </si>
  <si>
    <t>DS66</t>
  </si>
  <si>
    <t>DS111</t>
  </si>
  <si>
    <t>DS60</t>
  </si>
  <si>
    <t>DS50</t>
  </si>
  <si>
    <t>WC42</t>
  </si>
  <si>
    <t>Trawl depth (average start and end), capture depth</t>
  </si>
  <si>
    <t>KLS1924</t>
  </si>
  <si>
    <t>Site 18, Shot 14, processed tagged and released on deck, trawl transect depth started at 16.1 m, ended at 18.0 m, SVL + TailL measured with ImageJ</t>
  </si>
  <si>
    <t>14.11.25.foliosquama1</t>
  </si>
  <si>
    <t>17.11.25.foliosquama1</t>
  </si>
  <si>
    <t>18.11.25.foliosquama1</t>
  </si>
  <si>
    <t>18.11.25.foliosquama2</t>
  </si>
  <si>
    <t>18.11.25.foliosquama3</t>
  </si>
  <si>
    <t>18.11.25.foliosquama4</t>
  </si>
  <si>
    <t>18.11.25.folio.no.photo</t>
  </si>
  <si>
    <t>19.11.foliosquama1</t>
  </si>
  <si>
    <t>19.11.foliosquama2</t>
  </si>
  <si>
    <t>19.11.foliosquama3</t>
  </si>
  <si>
    <t>19.11.foliosquama4</t>
  </si>
  <si>
    <t>not onboard, recorded by DPIRD staff, Site CP30</t>
  </si>
  <si>
    <t>not onboard, recorded by DPIRD staff, Site DS52</t>
  </si>
  <si>
    <t>not onboard, recorded by DPIRD staff, Site DS51</t>
  </si>
  <si>
    <t>not onboard, recorded by DPIRD staff, Site DS50</t>
  </si>
  <si>
    <t>not onboard, recorded by DPIRD staff, Site DS109</t>
  </si>
  <si>
    <t>not onboard, recorded by DPIRD staff, Site WC40</t>
  </si>
  <si>
    <t>not onboard, recorded by DPIRD staff, Site WC41</t>
  </si>
  <si>
    <t>not onboard, recorded by DPIRD staff, Site WC39</t>
  </si>
  <si>
    <t>not onboard, recorded by DPIRD staff, Site WC38</t>
  </si>
  <si>
    <t>trawled_seasnakes.xlsx</t>
  </si>
  <si>
    <t>ala_records_2025-01-21</t>
  </si>
  <si>
    <t>HumanObservation</t>
  </si>
  <si>
    <t>Snake-20</t>
  </si>
  <si>
    <t>Snake-56</t>
  </si>
  <si>
    <t>Snake-29</t>
  </si>
  <si>
    <t>Snake-38</t>
  </si>
  <si>
    <t>Snake-47</t>
  </si>
  <si>
    <t>PreservedSpecimen</t>
  </si>
  <si>
    <t>R-24900</t>
  </si>
  <si>
    <t>Ashmore Reef</t>
  </si>
  <si>
    <t>1946.1.1.94</t>
  </si>
  <si>
    <t>R.40493</t>
  </si>
  <si>
    <t>R.44475</t>
  </si>
  <si>
    <t>R.42711</t>
  </si>
  <si>
    <t>R.44878</t>
  </si>
  <si>
    <t>R.37141</t>
  </si>
  <si>
    <t>R.44616</t>
  </si>
  <si>
    <t>Preserved Specimen</t>
  </si>
  <si>
    <t>R37477</t>
  </si>
  <si>
    <t>R17778</t>
  </si>
  <si>
    <t>Preserved specimen</t>
  </si>
  <si>
    <t>J80569</t>
  </si>
  <si>
    <t>MaterialSample</t>
  </si>
  <si>
    <t>ABTC105723</t>
  </si>
  <si>
    <t>R68142</t>
  </si>
  <si>
    <t>ABTC105722</t>
  </si>
  <si>
    <t>R179591</t>
  </si>
  <si>
    <t>R22961</t>
  </si>
  <si>
    <t>R43897</t>
  </si>
  <si>
    <t>R174539</t>
  </si>
  <si>
    <t>R157818</t>
  </si>
  <si>
    <t>R73668</t>
  </si>
  <si>
    <t>R26716</t>
  </si>
  <si>
    <t>R129805</t>
  </si>
  <si>
    <t>R73667</t>
  </si>
  <si>
    <t>R41261</t>
  </si>
  <si>
    <t>R31443</t>
  </si>
  <si>
    <t>R47748</t>
  </si>
  <si>
    <t>R129803</t>
  </si>
  <si>
    <t>R154750</t>
  </si>
  <si>
    <t>R26415</t>
  </si>
  <si>
    <t>MPA-Seasnakes-10309</t>
  </si>
  <si>
    <t>MPA-Seasnakes-10308</t>
  </si>
  <si>
    <t>MPA-Seasnakes-1510</t>
  </si>
  <si>
    <t>MPA-Seasnakes-10305</t>
  </si>
  <si>
    <t>MPA-Seasnakes-10304</t>
  </si>
  <si>
    <t>MPA-Seasnakes-1521</t>
  </si>
  <si>
    <t>MPA-Seasnakes-1487</t>
  </si>
  <si>
    <t>MPA-Seasnakes-10300</t>
  </si>
  <si>
    <t>MPA-Seasnakes-10307</t>
  </si>
  <si>
    <t>MPA-Seasnakes-10301</t>
  </si>
  <si>
    <t>MPA-Seasnakes-1499</t>
  </si>
  <si>
    <t>MPA-Seasnakes-10310</t>
  </si>
  <si>
    <t>MPA-Seasnakes-1465</t>
  </si>
  <si>
    <t>MPA-Seasnakes-10303</t>
  </si>
  <si>
    <t>MPA-Seasnakes-10306</t>
  </si>
  <si>
    <t>MPA-Seasnakes-10302</t>
  </si>
  <si>
    <t>MPA-Seasnakes-1476</t>
  </si>
  <si>
    <t>Snake-49</t>
  </si>
  <si>
    <t>Snake-31</t>
  </si>
  <si>
    <t>Snake-22</t>
  </si>
  <si>
    <t>Snake-40</t>
  </si>
  <si>
    <t>Snake-58</t>
  </si>
  <si>
    <t>1946.1.1.96</t>
  </si>
  <si>
    <t>R.44456</t>
  </si>
  <si>
    <t>R.44446</t>
  </si>
  <si>
    <t>R.44592</t>
  </si>
  <si>
    <t>R.44597</t>
  </si>
  <si>
    <t>R.41516</t>
  </si>
  <si>
    <t>R.37137</t>
  </si>
  <si>
    <t>R.37134</t>
  </si>
  <si>
    <t>R.42701</t>
  </si>
  <si>
    <t>R.44899</t>
  </si>
  <si>
    <t>R.44890</t>
  </si>
  <si>
    <t>R.44619</t>
  </si>
  <si>
    <t>R.104810</t>
  </si>
  <si>
    <t>R.37143</t>
  </si>
  <si>
    <t>R.130010</t>
  </si>
  <si>
    <t>R.44872</t>
  </si>
  <si>
    <t>R.44906</t>
  </si>
  <si>
    <t>R.44646</t>
  </si>
  <si>
    <t>R.44896</t>
  </si>
  <si>
    <t>R.41522</t>
  </si>
  <si>
    <t>R.40489</t>
  </si>
  <si>
    <t>R.44877</t>
  </si>
  <si>
    <t>R.44576</t>
  </si>
  <si>
    <t>R.41542</t>
  </si>
  <si>
    <t>R.44902</t>
  </si>
  <si>
    <t>R.8994</t>
  </si>
  <si>
    <t>R.44443</t>
  </si>
  <si>
    <t>R.40492</t>
  </si>
  <si>
    <t>R17782</t>
  </si>
  <si>
    <t>R17783</t>
  </si>
  <si>
    <t>R21666</t>
  </si>
  <si>
    <t>R17779</t>
  </si>
  <si>
    <t>R13328</t>
  </si>
  <si>
    <t>R21271</t>
  </si>
  <si>
    <t>R68143</t>
  </si>
  <si>
    <t>R68144</t>
  </si>
  <si>
    <t>R68146</t>
  </si>
  <si>
    <t>R68145</t>
  </si>
  <si>
    <t>R68139</t>
  </si>
  <si>
    <t>R154747</t>
  </si>
  <si>
    <t>R165709</t>
  </si>
  <si>
    <t>R129802</t>
  </si>
  <si>
    <t>R129806</t>
  </si>
  <si>
    <t>MPA-Seasnakes-835</t>
  </si>
  <si>
    <t>MPA-Seasnakes-802</t>
  </si>
  <si>
    <t>MPA-Seasnakes-768</t>
  </si>
  <si>
    <t>MPA-Seasnakes-702</t>
  </si>
  <si>
    <t>MPA-Seasnakes-979</t>
  </si>
  <si>
    <t>MPA-Seasnakes-657</t>
  </si>
  <si>
    <t>MPA-Seasnakes-946</t>
  </si>
  <si>
    <t>MPA-Seasnakes-924</t>
  </si>
  <si>
    <t>MPA-Seasnakes-902</t>
  </si>
  <si>
    <t>MPA-Seasnakes-990</t>
  </si>
  <si>
    <t>MPA-Seasnakes-680</t>
  </si>
  <si>
    <t>MPA-Seasnakes-957</t>
  </si>
  <si>
    <t>MPA-Seasnakes-10343</t>
  </si>
  <si>
    <t>MPA-Seasnakes-1013</t>
  </si>
  <si>
    <t>MPA-Seasnakes-879</t>
  </si>
  <si>
    <t>MPA-Seasnakes-935</t>
  </si>
  <si>
    <t>MPA-Seasnakes-868</t>
  </si>
  <si>
    <t>MPA-Seasnakes-635</t>
  </si>
  <si>
    <t>MPA-Seasnakes-791</t>
  </si>
  <si>
    <t>MPA-Seasnakes-724</t>
  </si>
  <si>
    <t>MPA-Seasnakes-691</t>
  </si>
  <si>
    <t>MPA-Seasnakes-669</t>
  </si>
  <si>
    <t>MPA-Seasnakes-846</t>
  </si>
  <si>
    <t>MPA-Seasnakes-857</t>
  </si>
  <si>
    <t>MPA-Seasnakes-824</t>
  </si>
  <si>
    <t>MPA-Seasnakes-913</t>
  </si>
  <si>
    <t>MPA-Seasnakes-713</t>
  </si>
  <si>
    <t>MPA-Seasnakes-813</t>
  </si>
  <si>
    <t>MPA-Seasnakes-10340</t>
  </si>
  <si>
    <t>MPA-Seasnakes-968</t>
  </si>
  <si>
    <t>MPA-Seasnakes-780</t>
  </si>
  <si>
    <t>MPA-Seasnakes-10344</t>
  </si>
  <si>
    <t>MPA-Seasnakes-746</t>
  </si>
  <si>
    <t>MPA-Seasnakes-10342</t>
  </si>
  <si>
    <t>MPA-Seasnakes-891</t>
  </si>
  <si>
    <t>MPA-Seasnakes-10341</t>
  </si>
  <si>
    <t>MPA-Seasnakes-1002</t>
  </si>
  <si>
    <t>MPA-Seasnakes-646</t>
  </si>
  <si>
    <t>MPA-Seasnakes-735</t>
  </si>
  <si>
    <t>Timor Sea</t>
  </si>
  <si>
    <t>Anson Bay to Melville Island, Timor Sea; Coordinates are approximate and correspond to Anson Bay, Northern Territory</t>
  </si>
  <si>
    <t>ATM_DPIRDFisheriesSurvey</t>
  </si>
  <si>
    <t>preATM_theOneSpreadsheet</t>
  </si>
  <si>
    <t>KLS 0701</t>
  </si>
  <si>
    <t>KLS 0717</t>
  </si>
  <si>
    <t>KLS 0730</t>
  </si>
  <si>
    <t>KLS 0732</t>
  </si>
  <si>
    <t>KLS 0802</t>
  </si>
  <si>
    <t>KLS 0803</t>
  </si>
  <si>
    <t>KLS 0806</t>
  </si>
  <si>
    <t>KLS 0809</t>
  </si>
  <si>
    <t>KLS 0811</t>
  </si>
  <si>
    <t>KLS 0812</t>
  </si>
  <si>
    <t>KLS 0820</t>
  </si>
  <si>
    <t>KLS 0824</t>
  </si>
  <si>
    <t>KLS 0828</t>
  </si>
  <si>
    <t>KLS 0832</t>
  </si>
  <si>
    <t>KLS 0833</t>
  </si>
  <si>
    <t>KLS 0834</t>
  </si>
  <si>
    <t>KLS 0838</t>
  </si>
  <si>
    <t>KLS 0840</t>
  </si>
  <si>
    <t>KLS 0841</t>
  </si>
  <si>
    <t>KLS 0844</t>
  </si>
  <si>
    <t>KLS 0852</t>
  </si>
  <si>
    <t>KLS 0859</t>
  </si>
  <si>
    <t>KLS 0860</t>
  </si>
  <si>
    <t>KLS 0868</t>
  </si>
  <si>
    <t>KLS 0899</t>
  </si>
  <si>
    <t>KLS 0900</t>
  </si>
  <si>
    <t>KLS 0902</t>
  </si>
  <si>
    <t>KLS 0911</t>
  </si>
  <si>
    <t>KLS 0912</t>
  </si>
  <si>
    <t>KLS 0921</t>
  </si>
  <si>
    <t>KLS 0934</t>
  </si>
  <si>
    <t>KLS 0937</t>
  </si>
  <si>
    <t>KLS 0999</t>
  </si>
  <si>
    <t>KLS 1000</t>
  </si>
  <si>
    <t>KLS 1435</t>
  </si>
  <si>
    <t>KLS 1436</t>
  </si>
  <si>
    <t>KLS 1454</t>
  </si>
  <si>
    <t>KLS 1457</t>
  </si>
  <si>
    <t>KLS 1459</t>
  </si>
  <si>
    <t>KLS 1465</t>
  </si>
  <si>
    <t>KLS 1468</t>
  </si>
  <si>
    <t>KLS 1477</t>
  </si>
  <si>
    <t>KLS 1484</t>
  </si>
  <si>
    <t>KLS 1486</t>
  </si>
  <si>
    <t>KLS 1490</t>
  </si>
  <si>
    <t>KLS 1509</t>
  </si>
  <si>
    <t>Trawled</t>
  </si>
  <si>
    <t>Afo #1</t>
  </si>
  <si>
    <t>Afo #10</t>
  </si>
  <si>
    <t>Afo #2</t>
  </si>
  <si>
    <t>Afo #3</t>
  </si>
  <si>
    <t>Afo #4</t>
  </si>
  <si>
    <t>KLS 0724</t>
  </si>
  <si>
    <t>KLS 0725</t>
  </si>
  <si>
    <t>KLS 1001</t>
  </si>
  <si>
    <t>KLS 1004</t>
  </si>
  <si>
    <t>KLS 1005</t>
  </si>
  <si>
    <t>KLS 1006</t>
  </si>
  <si>
    <t>KLS 1202</t>
  </si>
  <si>
    <t>23.03.apraefrontalis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</si>
</sst>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yyyy/mm/dd;@"/>
    <numFmt numFmtId="16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vertical="top"/>
    </xf>
    <xf numFmtId="1" fontId="0" fillId="0" borderId="0" xfId="0" applyNumberFormat="1" applyAlignment="1">
      <alignment vertical="top"/>
    </xf>
  </cellXfs>
  <cellStyles count="2">
    <cellStyle name="Normal" xfId="0" builtinId="0"/>
    <cellStyle name="Normal 2" xfId="1" xr:uid="{DA84A904-510E-4B22-90EA-AD3DC22C0548}"/>
  </cellStyles>
  <dxfs count="2"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5173-C948-451C-8C3A-32911EFB86EF}">
  <dimension ref="A1:Z439"/>
  <sheetViews>
    <sheetView tabSelected="1" zoomScale="80" zoomScaleNormal="80" workbookViewId="0">
      <pane ySplit="1" topLeftCell="A418" activePane="bottomLeft" state="frozen"/>
      <selection pane="bottomLeft" activeCell="L446" sqref="L446"/>
    </sheetView>
  </sheetViews>
  <sheetFormatPr defaultRowHeight="15" x14ac:dyDescent="0.25"/>
  <cols>
    <col min="1" max="1" width="26" customWidth="1"/>
    <col min="2" max="2" width="19.140625" bestFit="1" customWidth="1"/>
    <col min="3" max="3" width="21.42578125" bestFit="1" customWidth="1"/>
    <col min="4" max="4" width="14.85546875" style="4" bestFit="1" customWidth="1"/>
    <col min="5" max="5" width="9.7109375" bestFit="1" customWidth="1"/>
    <col min="6" max="6" width="13.7109375" bestFit="1" customWidth="1"/>
    <col min="7" max="7" width="16.7109375" bestFit="1" customWidth="1"/>
    <col min="8" max="8" width="11" style="5" customWidth="1"/>
    <col min="9" max="9" width="12.85546875" style="5" bestFit="1" customWidth="1"/>
    <col min="10" max="10" width="13.7109375" style="5" bestFit="1" customWidth="1"/>
    <col min="11" max="11" width="13" style="5" bestFit="1" customWidth="1"/>
    <col min="12" max="12" width="13.7109375" style="5" bestFit="1" customWidth="1"/>
    <col min="13" max="13" width="13" style="5" bestFit="1" customWidth="1"/>
    <col min="14" max="14" width="13.7109375" style="5" bestFit="1" customWidth="1"/>
    <col min="15" max="15" width="13" style="5" bestFit="1" customWidth="1"/>
    <col min="16" max="16" width="11.28515625" style="5" bestFit="1" customWidth="1"/>
    <col min="17" max="17" width="12.140625" style="5" bestFit="1" customWidth="1"/>
    <col min="18" max="18" width="12.140625" style="6" customWidth="1"/>
    <col min="19" max="19" width="18.5703125" style="7" bestFit="1" customWidth="1"/>
    <col min="20" max="20" width="4.140625" bestFit="1" customWidth="1"/>
    <col min="21" max="23" width="9.140625" style="8"/>
    <col min="24" max="24" width="38" style="7" bestFit="1" customWidth="1"/>
    <col min="26" max="26" width="146.5703125" bestFit="1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25</v>
      </c>
      <c r="S1" s="2" t="s">
        <v>255</v>
      </c>
      <c r="T1" s="1" t="s">
        <v>18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19</v>
      </c>
      <c r="Z1" s="1" t="s">
        <v>24</v>
      </c>
    </row>
    <row r="2" spans="1:26" x14ac:dyDescent="0.25">
      <c r="A2" t="s">
        <v>329</v>
      </c>
      <c r="B2" t="s">
        <v>26</v>
      </c>
      <c r="C2" t="s">
        <v>202</v>
      </c>
      <c r="D2" s="4">
        <v>41931</v>
      </c>
      <c r="E2" t="s">
        <v>203</v>
      </c>
      <c r="F2" t="s">
        <v>204</v>
      </c>
      <c r="G2" t="s">
        <v>205</v>
      </c>
      <c r="J2" s="5">
        <v>-22.080783333333333</v>
      </c>
      <c r="K2" s="5">
        <v>114.28194999999999</v>
      </c>
      <c r="L2" s="5">
        <v>-22.115391666666667</v>
      </c>
      <c r="M2" s="5">
        <v>114.24764166666667</v>
      </c>
      <c r="N2" s="5">
        <v>-22.15</v>
      </c>
      <c r="O2" s="5">
        <v>114.21333333333334</v>
      </c>
      <c r="R2" s="6">
        <v>14.4</v>
      </c>
      <c r="S2" s="7">
        <v>120</v>
      </c>
    </row>
    <row r="3" spans="1:26" x14ac:dyDescent="0.25">
      <c r="A3" t="s">
        <v>329</v>
      </c>
      <c r="B3" t="s">
        <v>26</v>
      </c>
      <c r="C3" t="s">
        <v>206</v>
      </c>
      <c r="D3" s="4">
        <v>42090</v>
      </c>
      <c r="E3" t="s">
        <v>203</v>
      </c>
      <c r="F3" t="s">
        <v>204</v>
      </c>
      <c r="G3" t="s">
        <v>205</v>
      </c>
      <c r="J3" s="5">
        <v>-22.235666666666667</v>
      </c>
      <c r="K3" s="5">
        <v>114.28193333333333</v>
      </c>
      <c r="L3" s="5">
        <v>-22.208566666666666</v>
      </c>
      <c r="M3" s="5">
        <v>114.28213333333332</v>
      </c>
      <c r="N3" s="5">
        <v>-22.181466666666665</v>
      </c>
      <c r="O3" s="5">
        <v>114.28233333333333</v>
      </c>
      <c r="R3" s="6">
        <v>9.9</v>
      </c>
      <c r="S3" s="7">
        <v>60</v>
      </c>
    </row>
    <row r="4" spans="1:26" x14ac:dyDescent="0.25">
      <c r="A4" t="s">
        <v>329</v>
      </c>
      <c r="B4" t="s">
        <v>26</v>
      </c>
      <c r="C4" t="s">
        <v>207</v>
      </c>
      <c r="D4" s="4">
        <v>42090</v>
      </c>
      <c r="E4" t="s">
        <v>203</v>
      </c>
      <c r="F4" t="s">
        <v>204</v>
      </c>
      <c r="G4" t="s">
        <v>205</v>
      </c>
      <c r="J4" s="5">
        <v>-22.235666666666667</v>
      </c>
      <c r="K4" s="5">
        <v>114.28193333333333</v>
      </c>
      <c r="L4" s="5">
        <v>-22.208566666666666</v>
      </c>
      <c r="M4" s="5">
        <v>114.28213333333332</v>
      </c>
      <c r="N4" s="5">
        <v>-22.181466666666665</v>
      </c>
      <c r="O4" s="5">
        <v>114.28233333333333</v>
      </c>
      <c r="R4" s="6">
        <v>9.9</v>
      </c>
      <c r="S4" s="7">
        <v>60</v>
      </c>
    </row>
    <row r="5" spans="1:26" x14ac:dyDescent="0.25">
      <c r="A5" t="s">
        <v>329</v>
      </c>
      <c r="B5" t="s">
        <v>26</v>
      </c>
      <c r="C5" t="s">
        <v>208</v>
      </c>
      <c r="D5" s="4">
        <v>42135</v>
      </c>
      <c r="E5" t="s">
        <v>203</v>
      </c>
      <c r="F5" t="s">
        <v>204</v>
      </c>
      <c r="G5" t="s">
        <v>205</v>
      </c>
      <c r="J5" s="5">
        <v>-22.235399999999998</v>
      </c>
      <c r="K5" s="5">
        <v>114.28268333333334</v>
      </c>
      <c r="L5" s="5">
        <v>-22.2087</v>
      </c>
      <c r="M5" s="5">
        <v>114.28214166666666</v>
      </c>
      <c r="N5" s="5">
        <v>-22.181999999999999</v>
      </c>
      <c r="O5" s="5">
        <v>114.2816</v>
      </c>
      <c r="R5" s="6">
        <v>9.9</v>
      </c>
      <c r="S5" s="7">
        <v>60</v>
      </c>
    </row>
    <row r="6" spans="1:26" x14ac:dyDescent="0.25">
      <c r="A6" t="s">
        <v>329</v>
      </c>
      <c r="B6" t="s">
        <v>26</v>
      </c>
      <c r="C6" t="s">
        <v>209</v>
      </c>
      <c r="D6" s="4">
        <v>42136</v>
      </c>
      <c r="E6" t="s">
        <v>203</v>
      </c>
      <c r="F6" t="s">
        <v>204</v>
      </c>
      <c r="G6" t="s">
        <v>205</v>
      </c>
      <c r="J6" s="5">
        <v>-22.151533333333333</v>
      </c>
      <c r="K6" s="5">
        <v>114.2752</v>
      </c>
      <c r="L6" s="5">
        <v>-22.115558333333333</v>
      </c>
      <c r="M6" s="5">
        <v>114.30541666666667</v>
      </c>
      <c r="N6" s="5">
        <v>-22.079583333333332</v>
      </c>
      <c r="O6" s="5">
        <v>114.33563333333333</v>
      </c>
      <c r="R6" s="6">
        <v>11.9</v>
      </c>
      <c r="S6" s="7">
        <v>90</v>
      </c>
    </row>
    <row r="7" spans="1:26" x14ac:dyDescent="0.25">
      <c r="A7" t="s">
        <v>329</v>
      </c>
      <c r="B7" t="s">
        <v>26</v>
      </c>
      <c r="C7" t="s">
        <v>210</v>
      </c>
      <c r="D7" s="4">
        <v>42253</v>
      </c>
      <c r="E7" t="s">
        <v>203</v>
      </c>
      <c r="F7" t="s">
        <v>204</v>
      </c>
      <c r="G7" t="s">
        <v>205</v>
      </c>
      <c r="J7" s="5">
        <v>-22.057866666666666</v>
      </c>
      <c r="K7" s="5">
        <v>114.32471666666666</v>
      </c>
      <c r="L7" s="5">
        <v>-22.032083333333333</v>
      </c>
      <c r="M7" s="5">
        <v>114.348975</v>
      </c>
      <c r="N7" s="5">
        <v>-22.0063</v>
      </c>
      <c r="O7" s="5">
        <v>114.37323333333333</v>
      </c>
      <c r="R7" s="6">
        <v>11.4</v>
      </c>
      <c r="S7" s="7">
        <v>60</v>
      </c>
    </row>
    <row r="8" spans="1:26" x14ac:dyDescent="0.25">
      <c r="A8" t="s">
        <v>329</v>
      </c>
      <c r="B8" t="s">
        <v>26</v>
      </c>
      <c r="C8" t="s">
        <v>211</v>
      </c>
      <c r="D8" s="4">
        <v>42282</v>
      </c>
      <c r="E8" t="s">
        <v>203</v>
      </c>
      <c r="F8" t="s">
        <v>204</v>
      </c>
      <c r="G8" t="s">
        <v>205</v>
      </c>
      <c r="J8" s="5">
        <v>-22.080466666666666</v>
      </c>
      <c r="K8" s="5">
        <v>114.29098333333333</v>
      </c>
      <c r="L8" s="5">
        <v>-22.110491666666668</v>
      </c>
      <c r="M8" s="5">
        <v>114.2496</v>
      </c>
      <c r="N8" s="5">
        <v>-22.140516666666667</v>
      </c>
      <c r="O8" s="5">
        <v>114.20821666666667</v>
      </c>
      <c r="R8" s="6">
        <v>13.1</v>
      </c>
      <c r="S8" s="7">
        <v>120</v>
      </c>
    </row>
    <row r="9" spans="1:26" x14ac:dyDescent="0.25">
      <c r="A9" t="s">
        <v>329</v>
      </c>
      <c r="B9" t="s">
        <v>26</v>
      </c>
      <c r="C9" t="s">
        <v>212</v>
      </c>
      <c r="D9" s="4">
        <v>42284</v>
      </c>
      <c r="E9" t="s">
        <v>203</v>
      </c>
      <c r="F9" t="s">
        <v>204</v>
      </c>
      <c r="G9" t="s">
        <v>205</v>
      </c>
      <c r="J9" s="5">
        <v>-22.108899999999998</v>
      </c>
      <c r="K9" s="5">
        <v>114.23191666666666</v>
      </c>
      <c r="L9" s="5">
        <v>-22.1251</v>
      </c>
      <c r="M9" s="5">
        <v>114.21964166666666</v>
      </c>
      <c r="N9" s="5">
        <v>-22.141300000000001</v>
      </c>
      <c r="O9" s="5">
        <v>114.20736666666667</v>
      </c>
      <c r="R9" s="6">
        <v>14.8</v>
      </c>
      <c r="S9" s="7">
        <v>60</v>
      </c>
    </row>
    <row r="10" spans="1:26" x14ac:dyDescent="0.25">
      <c r="A10" t="s">
        <v>329</v>
      </c>
      <c r="B10" t="s">
        <v>26</v>
      </c>
      <c r="C10" t="s">
        <v>213</v>
      </c>
      <c r="D10" s="4">
        <v>42445</v>
      </c>
      <c r="E10" t="s">
        <v>203</v>
      </c>
      <c r="F10" t="s">
        <v>204</v>
      </c>
      <c r="G10" t="s">
        <v>205</v>
      </c>
      <c r="J10" s="5">
        <v>-22.233833333333333</v>
      </c>
      <c r="K10" s="5">
        <v>114.28151666666666</v>
      </c>
      <c r="L10" s="5">
        <v>-22.203299999999999</v>
      </c>
      <c r="M10" s="5">
        <v>114.28195833333334</v>
      </c>
      <c r="N10" s="5">
        <v>-22.172766666666668</v>
      </c>
      <c r="O10" s="5">
        <v>114.2824</v>
      </c>
      <c r="R10" s="6">
        <v>9.8000000000000007</v>
      </c>
      <c r="S10" s="7">
        <v>60</v>
      </c>
    </row>
    <row r="11" spans="1:26" x14ac:dyDescent="0.25">
      <c r="A11" t="s">
        <v>329</v>
      </c>
      <c r="B11" t="s">
        <v>26</v>
      </c>
      <c r="C11" t="s">
        <v>214</v>
      </c>
      <c r="D11" s="4">
        <v>42446</v>
      </c>
      <c r="E11" t="s">
        <v>203</v>
      </c>
      <c r="F11" t="s">
        <v>204</v>
      </c>
      <c r="G11" t="s">
        <v>205</v>
      </c>
      <c r="J11" s="5">
        <v>-22.134</v>
      </c>
      <c r="K11" s="5">
        <v>114.17161666666667</v>
      </c>
      <c r="L11" s="5">
        <v>-22.132791666666666</v>
      </c>
      <c r="M11" s="5">
        <v>114.18873333333333</v>
      </c>
      <c r="N11" s="5">
        <v>-22.131583333333332</v>
      </c>
      <c r="O11" s="5">
        <v>114.20585</v>
      </c>
      <c r="R11" s="6">
        <v>14.5</v>
      </c>
      <c r="S11" s="7">
        <v>90</v>
      </c>
    </row>
    <row r="12" spans="1:26" x14ac:dyDescent="0.25">
      <c r="A12" t="s">
        <v>329</v>
      </c>
      <c r="B12" t="s">
        <v>26</v>
      </c>
      <c r="C12" t="s">
        <v>215</v>
      </c>
      <c r="D12" s="4">
        <v>42447</v>
      </c>
      <c r="E12" t="s">
        <v>203</v>
      </c>
      <c r="F12" t="s">
        <v>204</v>
      </c>
      <c r="G12" t="s">
        <v>205</v>
      </c>
      <c r="J12" s="5">
        <v>-22.059816666666666</v>
      </c>
      <c r="K12" s="5">
        <v>114.28058333333334</v>
      </c>
      <c r="L12" s="5">
        <v>-22.097758333333331</v>
      </c>
      <c r="M12" s="5">
        <v>114.25194999999999</v>
      </c>
      <c r="N12" s="5">
        <v>-22.1357</v>
      </c>
      <c r="O12" s="5">
        <v>114.22331666666666</v>
      </c>
      <c r="R12" s="6">
        <v>15.2</v>
      </c>
      <c r="S12" s="7">
        <v>90</v>
      </c>
    </row>
    <row r="13" spans="1:26" x14ac:dyDescent="0.25">
      <c r="A13" t="s">
        <v>329</v>
      </c>
      <c r="B13" t="s">
        <v>26</v>
      </c>
      <c r="C13" t="s">
        <v>216</v>
      </c>
      <c r="D13" s="4">
        <v>42459</v>
      </c>
      <c r="E13" t="s">
        <v>203</v>
      </c>
      <c r="F13" t="s">
        <v>204</v>
      </c>
      <c r="G13" t="s">
        <v>205</v>
      </c>
      <c r="J13" s="5">
        <v>-22.278333333333332</v>
      </c>
      <c r="K13" s="5">
        <v>114.16006666666667</v>
      </c>
      <c r="L13" s="5">
        <v>-22.278300000000002</v>
      </c>
      <c r="M13" s="5">
        <v>114.16296666666668</v>
      </c>
      <c r="N13" s="5">
        <v>-22.278266666666667</v>
      </c>
      <c r="O13" s="5">
        <v>114.16586666666667</v>
      </c>
      <c r="R13" s="6">
        <v>5.8</v>
      </c>
      <c r="S13" s="7">
        <v>60</v>
      </c>
    </row>
    <row r="14" spans="1:26" x14ac:dyDescent="0.25">
      <c r="A14" t="s">
        <v>329</v>
      </c>
      <c r="B14" t="s">
        <v>26</v>
      </c>
      <c r="C14" t="s">
        <v>217</v>
      </c>
      <c r="D14" s="4">
        <v>42459</v>
      </c>
      <c r="E14" t="s">
        <v>203</v>
      </c>
      <c r="F14" t="s">
        <v>204</v>
      </c>
      <c r="G14" t="s">
        <v>205</v>
      </c>
      <c r="J14" s="5">
        <v>-22.264666666666667</v>
      </c>
      <c r="K14" s="5">
        <v>114.16665</v>
      </c>
      <c r="L14" s="5">
        <v>-22.254558333333335</v>
      </c>
      <c r="M14" s="5">
        <v>114.19445833333333</v>
      </c>
      <c r="N14" s="5">
        <v>-22.244450000000001</v>
      </c>
      <c r="O14" s="5">
        <v>114.22226666666667</v>
      </c>
      <c r="R14" s="6">
        <v>5.7</v>
      </c>
      <c r="S14" s="7">
        <v>90</v>
      </c>
    </row>
    <row r="15" spans="1:26" x14ac:dyDescent="0.25">
      <c r="A15" t="s">
        <v>329</v>
      </c>
      <c r="B15" t="s">
        <v>26</v>
      </c>
      <c r="C15" t="s">
        <v>218</v>
      </c>
      <c r="D15" s="4">
        <v>42459</v>
      </c>
      <c r="E15" t="s">
        <v>203</v>
      </c>
      <c r="F15" t="s">
        <v>204</v>
      </c>
      <c r="G15" t="s">
        <v>205</v>
      </c>
      <c r="J15" s="5">
        <v>-22.234683333333333</v>
      </c>
      <c r="K15" s="5">
        <v>114.28201666666666</v>
      </c>
      <c r="L15" s="5">
        <v>-22.206724999999999</v>
      </c>
      <c r="M15" s="5">
        <v>114.2833</v>
      </c>
      <c r="N15" s="5">
        <v>-22.178766666666668</v>
      </c>
      <c r="O15" s="5">
        <v>114.28458333333333</v>
      </c>
      <c r="R15" s="6">
        <v>10.1</v>
      </c>
      <c r="S15" s="7">
        <v>60</v>
      </c>
    </row>
    <row r="16" spans="1:26" x14ac:dyDescent="0.25">
      <c r="A16" t="s">
        <v>329</v>
      </c>
      <c r="B16" t="s">
        <v>26</v>
      </c>
      <c r="C16" t="s">
        <v>219</v>
      </c>
      <c r="D16" s="4">
        <v>42489</v>
      </c>
      <c r="E16" t="s">
        <v>203</v>
      </c>
      <c r="F16" t="s">
        <v>204</v>
      </c>
      <c r="G16" t="s">
        <v>205</v>
      </c>
      <c r="J16" s="5">
        <v>-22.2165</v>
      </c>
      <c r="K16" s="5">
        <v>114.14765</v>
      </c>
      <c r="L16" s="5">
        <v>-22.220041666666667</v>
      </c>
      <c r="M16" s="5">
        <v>114.15935833333333</v>
      </c>
      <c r="N16" s="5">
        <v>-22.223583333333334</v>
      </c>
      <c r="O16" s="5">
        <v>114.17106666666666</v>
      </c>
      <c r="R16" s="6">
        <v>10</v>
      </c>
      <c r="S16" s="7">
        <v>90</v>
      </c>
    </row>
    <row r="17" spans="1:26" x14ac:dyDescent="0.25">
      <c r="A17" t="s">
        <v>329</v>
      </c>
      <c r="B17" t="s">
        <v>26</v>
      </c>
      <c r="C17" t="s">
        <v>220</v>
      </c>
      <c r="D17" s="4">
        <v>42490</v>
      </c>
      <c r="E17" t="s">
        <v>203</v>
      </c>
      <c r="F17" t="s">
        <v>204</v>
      </c>
      <c r="G17" t="s">
        <v>205</v>
      </c>
      <c r="J17" s="5">
        <v>-22.155716666666667</v>
      </c>
      <c r="K17" s="5">
        <v>114.27401666666667</v>
      </c>
      <c r="L17" s="5">
        <v>-22.127841666666669</v>
      </c>
      <c r="M17" s="5">
        <v>114.30052499999999</v>
      </c>
      <c r="N17" s="5">
        <v>-22.099966666666667</v>
      </c>
      <c r="O17" s="5">
        <v>114.32703333333333</v>
      </c>
      <c r="R17" s="6">
        <v>12</v>
      </c>
      <c r="S17" s="7">
        <v>90</v>
      </c>
    </row>
    <row r="18" spans="1:26" x14ac:dyDescent="0.25">
      <c r="A18" t="s">
        <v>329</v>
      </c>
      <c r="B18" t="s">
        <v>26</v>
      </c>
      <c r="C18" t="s">
        <v>221</v>
      </c>
      <c r="D18" s="4">
        <v>42491</v>
      </c>
      <c r="E18" t="s">
        <v>203</v>
      </c>
      <c r="F18" t="s">
        <v>204</v>
      </c>
      <c r="G18" t="s">
        <v>205</v>
      </c>
      <c r="J18" s="5">
        <v>-22.067483333333332</v>
      </c>
      <c r="K18" s="5">
        <v>114.31653333333334</v>
      </c>
      <c r="L18" s="5">
        <v>-22.101233333333333</v>
      </c>
      <c r="M18" s="5">
        <v>114.31569999999999</v>
      </c>
      <c r="N18" s="5">
        <v>-22.134983333333334</v>
      </c>
      <c r="O18" s="5">
        <v>114.31486666666666</v>
      </c>
      <c r="R18" s="6">
        <v>11</v>
      </c>
      <c r="S18" s="7">
        <v>90</v>
      </c>
    </row>
    <row r="19" spans="1:26" x14ac:dyDescent="0.25">
      <c r="A19" t="s">
        <v>329</v>
      </c>
      <c r="B19" t="s">
        <v>26</v>
      </c>
      <c r="C19" t="s">
        <v>222</v>
      </c>
      <c r="D19" s="4">
        <v>42522</v>
      </c>
      <c r="E19" t="s">
        <v>203</v>
      </c>
      <c r="F19" t="s">
        <v>204</v>
      </c>
      <c r="G19" t="s">
        <v>205</v>
      </c>
      <c r="J19" s="5">
        <v>-21.762149999999998</v>
      </c>
      <c r="K19" s="5">
        <v>114.3631</v>
      </c>
      <c r="L19" s="5">
        <v>-21.785341666666667</v>
      </c>
      <c r="M19" s="5">
        <v>114.35355833333332</v>
      </c>
      <c r="N19" s="5">
        <v>-21.808533333333333</v>
      </c>
      <c r="O19" s="5">
        <v>114.34401666666666</v>
      </c>
      <c r="R19" s="6">
        <v>15</v>
      </c>
      <c r="S19" s="7">
        <v>60</v>
      </c>
    </row>
    <row r="20" spans="1:26" x14ac:dyDescent="0.25">
      <c r="A20" t="s">
        <v>329</v>
      </c>
      <c r="B20" t="s">
        <v>26</v>
      </c>
      <c r="C20" t="s">
        <v>223</v>
      </c>
      <c r="D20" s="4">
        <v>42606</v>
      </c>
      <c r="E20" t="s">
        <v>203</v>
      </c>
      <c r="F20" t="s">
        <v>204</v>
      </c>
      <c r="G20" t="s">
        <v>205</v>
      </c>
      <c r="J20" s="5">
        <v>-22.053766666666668</v>
      </c>
      <c r="K20" s="5">
        <v>114.26806666666667</v>
      </c>
      <c r="L20" s="5">
        <v>-21.990041666666666</v>
      </c>
      <c r="M20" s="5">
        <v>114.311125</v>
      </c>
      <c r="N20" s="5">
        <v>-21.926316666666665</v>
      </c>
      <c r="O20" s="5">
        <v>114.35418333333334</v>
      </c>
      <c r="R20" s="6">
        <v>15.5</v>
      </c>
      <c r="S20" s="7">
        <v>150</v>
      </c>
    </row>
    <row r="21" spans="1:26" x14ac:dyDescent="0.25">
      <c r="A21" t="s">
        <v>329</v>
      </c>
      <c r="B21" t="s">
        <v>26</v>
      </c>
      <c r="C21" t="s">
        <v>224</v>
      </c>
      <c r="D21" s="4">
        <v>42636</v>
      </c>
      <c r="E21" t="s">
        <v>203</v>
      </c>
      <c r="F21" t="s">
        <v>204</v>
      </c>
      <c r="G21" t="s">
        <v>205</v>
      </c>
      <c r="J21" s="5">
        <v>-22.1494</v>
      </c>
      <c r="K21" s="5">
        <v>114.25103333333334</v>
      </c>
      <c r="L21" s="5">
        <v>-22.125116666666667</v>
      </c>
      <c r="M21" s="5">
        <v>114.27054166666667</v>
      </c>
      <c r="N21" s="5">
        <v>-22.100833333333334</v>
      </c>
      <c r="O21" s="5">
        <v>114.29004999999999</v>
      </c>
      <c r="R21" s="6">
        <v>12.2</v>
      </c>
      <c r="S21" s="7">
        <v>150</v>
      </c>
    </row>
    <row r="22" spans="1:26" x14ac:dyDescent="0.25">
      <c r="A22" t="s">
        <v>329</v>
      </c>
      <c r="B22" t="s">
        <v>26</v>
      </c>
      <c r="C22" t="s">
        <v>225</v>
      </c>
      <c r="D22" s="4">
        <v>42637</v>
      </c>
      <c r="E22" t="s">
        <v>203</v>
      </c>
      <c r="F22" t="s">
        <v>204</v>
      </c>
      <c r="G22" t="s">
        <v>205</v>
      </c>
      <c r="J22" s="5">
        <v>-22.226183333333335</v>
      </c>
      <c r="K22" s="5">
        <v>114.32851666666667</v>
      </c>
      <c r="L22" s="5">
        <v>-22.214708333333334</v>
      </c>
      <c r="M22" s="5">
        <v>114.32078333333334</v>
      </c>
      <c r="N22" s="5">
        <v>-22.203233333333333</v>
      </c>
      <c r="O22" s="5">
        <v>114.31305</v>
      </c>
      <c r="R22" s="6">
        <v>7.8</v>
      </c>
      <c r="S22" s="7">
        <v>30</v>
      </c>
    </row>
    <row r="23" spans="1:26" x14ac:dyDescent="0.25">
      <c r="A23" t="s">
        <v>329</v>
      </c>
      <c r="B23" t="s">
        <v>26</v>
      </c>
      <c r="C23" t="s">
        <v>226</v>
      </c>
      <c r="D23" s="4">
        <v>42638</v>
      </c>
      <c r="E23" t="s">
        <v>203</v>
      </c>
      <c r="F23" t="s">
        <v>204</v>
      </c>
      <c r="G23" t="s">
        <v>205</v>
      </c>
      <c r="J23" s="5">
        <v>-21.915883333333333</v>
      </c>
      <c r="K23" s="5">
        <v>114.35551666666667</v>
      </c>
      <c r="L23" s="5">
        <v>-21.953308333333332</v>
      </c>
      <c r="M23" s="5">
        <v>114.31046666666667</v>
      </c>
      <c r="N23" s="5">
        <v>-21.990733333333335</v>
      </c>
      <c r="O23" s="5">
        <v>114.26541666666667</v>
      </c>
      <c r="R23" s="6">
        <v>16.899999999999999</v>
      </c>
      <c r="S23" s="7">
        <v>120</v>
      </c>
    </row>
    <row r="24" spans="1:26" x14ac:dyDescent="0.25">
      <c r="A24" t="s">
        <v>329</v>
      </c>
      <c r="B24" t="s">
        <v>26</v>
      </c>
      <c r="C24" t="s">
        <v>227</v>
      </c>
      <c r="D24" s="4">
        <v>42801</v>
      </c>
      <c r="E24" t="s">
        <v>203</v>
      </c>
      <c r="F24" t="s">
        <v>204</v>
      </c>
      <c r="G24" t="s">
        <v>205</v>
      </c>
      <c r="J24" s="5">
        <v>-22.0741833368937</v>
      </c>
      <c r="K24" s="5">
        <v>114.314116668701</v>
      </c>
      <c r="L24" s="5">
        <v>-22.110191671053549</v>
      </c>
      <c r="M24" s="5">
        <v>114.28802499771101</v>
      </c>
      <c r="N24" s="5">
        <v>-22.146200005213402</v>
      </c>
      <c r="O24" s="5">
        <v>114.26193332672101</v>
      </c>
      <c r="R24" s="6">
        <v>11.8999996185303</v>
      </c>
      <c r="S24" s="7">
        <v>90</v>
      </c>
    </row>
    <row r="25" spans="1:26" x14ac:dyDescent="0.25">
      <c r="A25" t="s">
        <v>329</v>
      </c>
      <c r="B25" t="s">
        <v>26</v>
      </c>
      <c r="C25" t="s">
        <v>228</v>
      </c>
      <c r="D25" s="4">
        <v>42844</v>
      </c>
      <c r="E25" t="s">
        <v>203</v>
      </c>
      <c r="F25" t="s">
        <v>204</v>
      </c>
      <c r="G25" t="s">
        <v>205</v>
      </c>
      <c r="J25" s="5">
        <v>-22.198333326975501</v>
      </c>
      <c r="K25" s="5">
        <v>114.31155001322399</v>
      </c>
      <c r="L25" s="5">
        <v>-22.21121666431425</v>
      </c>
      <c r="M25" s="5">
        <v>114.31964166959099</v>
      </c>
      <c r="N25" s="5">
        <v>-22.224100001652999</v>
      </c>
      <c r="O25" s="5">
        <v>114.32773332595799</v>
      </c>
      <c r="R25" s="6">
        <v>8.1999998092651403</v>
      </c>
      <c r="S25" s="7">
        <v>30</v>
      </c>
    </row>
    <row r="26" spans="1:26" x14ac:dyDescent="0.25">
      <c r="A26" t="s">
        <v>329</v>
      </c>
      <c r="B26" t="s">
        <v>26</v>
      </c>
      <c r="C26" t="s">
        <v>229</v>
      </c>
      <c r="D26" s="4">
        <v>43021</v>
      </c>
      <c r="E26" t="s">
        <v>203</v>
      </c>
      <c r="F26" t="s">
        <v>204</v>
      </c>
      <c r="G26" t="s">
        <v>230</v>
      </c>
      <c r="L26" s="5">
        <v>-19.688930500000001</v>
      </c>
      <c r="M26" s="5">
        <v>118.22087399999999</v>
      </c>
      <c r="R26" s="6">
        <v>51.5</v>
      </c>
      <c r="Z26" t="s">
        <v>241</v>
      </c>
    </row>
    <row r="27" spans="1:26" x14ac:dyDescent="0.25">
      <c r="A27" t="s">
        <v>329</v>
      </c>
      <c r="B27" t="s">
        <v>26</v>
      </c>
      <c r="C27" t="s">
        <v>231</v>
      </c>
      <c r="D27" s="4">
        <v>43760</v>
      </c>
      <c r="E27" t="s">
        <v>203</v>
      </c>
      <c r="F27" t="s">
        <v>204</v>
      </c>
      <c r="G27" t="s">
        <v>205</v>
      </c>
      <c r="J27" s="5">
        <v>-22.148533328374199</v>
      </c>
      <c r="K27" s="5">
        <v>114.2526166598</v>
      </c>
      <c r="L27" s="5">
        <v>-22.116308331489549</v>
      </c>
      <c r="M27" s="5">
        <v>114.27639999389649</v>
      </c>
      <c r="N27" s="5">
        <v>-22.084083334604902</v>
      </c>
      <c r="O27" s="5">
        <v>114.300183327993</v>
      </c>
      <c r="R27" s="6">
        <v>12.5</v>
      </c>
      <c r="S27" s="7">
        <v>120</v>
      </c>
    </row>
    <row r="28" spans="1:26" x14ac:dyDescent="0.25">
      <c r="A28" t="s">
        <v>329</v>
      </c>
      <c r="B28" t="s">
        <v>26</v>
      </c>
      <c r="C28" t="s">
        <v>232</v>
      </c>
      <c r="D28" s="4">
        <v>43893</v>
      </c>
      <c r="E28" t="s">
        <v>203</v>
      </c>
      <c r="F28" t="s">
        <v>204</v>
      </c>
      <c r="G28" t="s">
        <v>205</v>
      </c>
      <c r="J28" s="5">
        <v>-22.2585333347321</v>
      </c>
      <c r="K28" s="5">
        <v>114.16984999974601</v>
      </c>
      <c r="L28" s="5">
        <v>-22.2521166642507</v>
      </c>
      <c r="M28" s="5">
        <v>114.2024333318075</v>
      </c>
      <c r="N28" s="5">
        <v>-22.2456999937693</v>
      </c>
      <c r="O28" s="5">
        <v>114.235016663869</v>
      </c>
      <c r="R28" s="6">
        <v>5.5</v>
      </c>
      <c r="S28" s="7">
        <v>90</v>
      </c>
    </row>
    <row r="29" spans="1:26" x14ac:dyDescent="0.25">
      <c r="A29" t="s">
        <v>329</v>
      </c>
      <c r="B29" t="s">
        <v>26</v>
      </c>
      <c r="C29" t="s">
        <v>233</v>
      </c>
      <c r="D29" s="4">
        <v>43895</v>
      </c>
      <c r="E29" t="s">
        <v>203</v>
      </c>
      <c r="F29" t="s">
        <v>204</v>
      </c>
      <c r="G29" t="s">
        <v>205</v>
      </c>
      <c r="J29" s="5">
        <v>-22.141250006357801</v>
      </c>
      <c r="K29" s="5">
        <v>114.205350001653</v>
      </c>
      <c r="L29" s="5">
        <v>-22.104025002320601</v>
      </c>
      <c r="M29" s="5">
        <v>114.2384999990465</v>
      </c>
      <c r="N29" s="5">
        <v>-22.0667999982834</v>
      </c>
      <c r="O29" s="5">
        <v>114.27164999644</v>
      </c>
      <c r="R29" s="6">
        <v>13.7</v>
      </c>
      <c r="S29" s="7">
        <v>90</v>
      </c>
    </row>
    <row r="30" spans="1:26" x14ac:dyDescent="0.25">
      <c r="A30" t="s">
        <v>329</v>
      </c>
      <c r="B30" t="s">
        <v>26</v>
      </c>
      <c r="C30" t="s">
        <v>234</v>
      </c>
      <c r="D30" s="4">
        <v>43906</v>
      </c>
      <c r="E30" t="s">
        <v>203</v>
      </c>
      <c r="F30" t="s">
        <v>204</v>
      </c>
      <c r="G30" t="s">
        <v>205</v>
      </c>
      <c r="J30" s="5">
        <v>-22.2271999994914</v>
      </c>
      <c r="K30" s="5">
        <v>114.326133346558</v>
      </c>
      <c r="L30" s="5">
        <v>-22.21480833689375</v>
      </c>
      <c r="M30" s="5">
        <v>114.31927501360599</v>
      </c>
      <c r="N30" s="5">
        <v>-22.202416674296099</v>
      </c>
      <c r="O30" s="5">
        <v>114.312416680654</v>
      </c>
      <c r="R30" s="6">
        <v>7.7</v>
      </c>
      <c r="S30" s="7">
        <v>30</v>
      </c>
    </row>
    <row r="31" spans="1:26" x14ac:dyDescent="0.25">
      <c r="A31" t="s">
        <v>329</v>
      </c>
      <c r="B31" t="s">
        <v>26</v>
      </c>
      <c r="C31" t="s">
        <v>235</v>
      </c>
      <c r="D31" s="4">
        <v>43937</v>
      </c>
      <c r="E31" t="s">
        <v>203</v>
      </c>
      <c r="F31" t="s">
        <v>204</v>
      </c>
      <c r="G31" t="s">
        <v>205</v>
      </c>
      <c r="J31" s="5">
        <v>-21.819766680399599</v>
      </c>
      <c r="K31" s="5">
        <v>114.575016657511</v>
      </c>
      <c r="L31" s="5">
        <v>-21.791133340199799</v>
      </c>
      <c r="M31" s="5">
        <v>114.58495833079</v>
      </c>
      <c r="N31" s="5">
        <v>-21.762499999999999</v>
      </c>
      <c r="O31" s="5">
        <v>114.594900004069</v>
      </c>
      <c r="R31" s="6">
        <v>8.6999999999999993</v>
      </c>
      <c r="S31" s="7">
        <v>60</v>
      </c>
    </row>
    <row r="32" spans="1:26" x14ac:dyDescent="0.25">
      <c r="A32" t="s">
        <v>329</v>
      </c>
      <c r="B32" t="s">
        <v>26</v>
      </c>
      <c r="C32" t="s">
        <v>236</v>
      </c>
      <c r="D32" s="4">
        <v>43937</v>
      </c>
      <c r="E32" t="s">
        <v>203</v>
      </c>
      <c r="F32" t="s">
        <v>204</v>
      </c>
      <c r="G32" t="s">
        <v>205</v>
      </c>
      <c r="J32" s="5">
        <v>-21.8479000091553</v>
      </c>
      <c r="K32" s="5">
        <v>114.32643334070799</v>
      </c>
      <c r="L32" s="5">
        <v>-21.863016668955499</v>
      </c>
      <c r="M32" s="5">
        <v>114.30844999949099</v>
      </c>
      <c r="N32" s="5">
        <v>-21.878133328755698</v>
      </c>
      <c r="O32" s="5">
        <v>114.290466658274</v>
      </c>
      <c r="R32" s="6">
        <v>18.8</v>
      </c>
      <c r="S32" s="7">
        <v>60</v>
      </c>
    </row>
    <row r="33" spans="1:19" x14ac:dyDescent="0.25">
      <c r="A33" t="s">
        <v>329</v>
      </c>
      <c r="B33" t="s">
        <v>26</v>
      </c>
      <c r="C33" t="s">
        <v>237</v>
      </c>
      <c r="D33" s="4">
        <v>44084</v>
      </c>
      <c r="E33" t="s">
        <v>203</v>
      </c>
      <c r="F33" t="s">
        <v>204</v>
      </c>
      <c r="G33" t="s">
        <v>205</v>
      </c>
      <c r="J33" s="5">
        <v>-22.0648833314578</v>
      </c>
      <c r="K33" s="5">
        <v>114.320316664378</v>
      </c>
      <c r="L33" s="5">
        <v>-22.00280833443005</v>
      </c>
      <c r="M33" s="5">
        <v>114.357808335622</v>
      </c>
      <c r="N33" s="5">
        <v>-21.9407333374023</v>
      </c>
      <c r="O33" s="5">
        <v>114.39530000686599</v>
      </c>
      <c r="R33" s="6">
        <v>10.1</v>
      </c>
      <c r="S33" s="7">
        <v>150</v>
      </c>
    </row>
    <row r="34" spans="1:19" x14ac:dyDescent="0.25">
      <c r="A34" t="s">
        <v>329</v>
      </c>
      <c r="B34" t="s">
        <v>26</v>
      </c>
      <c r="C34" t="s">
        <v>47</v>
      </c>
      <c r="D34" s="4">
        <v>44263</v>
      </c>
      <c r="E34" t="s">
        <v>203</v>
      </c>
      <c r="F34" t="s">
        <v>204</v>
      </c>
      <c r="G34" t="s">
        <v>205</v>
      </c>
      <c r="J34" s="5">
        <v>-22.167000007629401</v>
      </c>
      <c r="K34" s="5">
        <v>114.244000005722</v>
      </c>
      <c r="L34" s="5">
        <v>-22.166575002670299</v>
      </c>
      <c r="M34" s="5">
        <v>114.214541665713</v>
      </c>
      <c r="N34" s="5">
        <v>-22.166149997711202</v>
      </c>
      <c r="O34" s="5">
        <v>114.185083325704</v>
      </c>
      <c r="R34" s="6">
        <v>12</v>
      </c>
      <c r="S34" s="7">
        <v>90</v>
      </c>
    </row>
    <row r="35" spans="1:19" x14ac:dyDescent="0.25">
      <c r="A35" t="s">
        <v>329</v>
      </c>
      <c r="B35" t="s">
        <v>26</v>
      </c>
      <c r="C35" t="s">
        <v>48</v>
      </c>
      <c r="D35" s="4">
        <v>44264</v>
      </c>
      <c r="E35" t="s">
        <v>203</v>
      </c>
      <c r="F35" t="s">
        <v>204</v>
      </c>
      <c r="G35" t="s">
        <v>205</v>
      </c>
      <c r="J35" s="5">
        <v>-22.1028999964396</v>
      </c>
      <c r="K35" s="5">
        <v>114.14140000343301</v>
      </c>
      <c r="L35" s="5">
        <v>-22.135549998283402</v>
      </c>
      <c r="M35" s="5">
        <v>114.14605000019051</v>
      </c>
      <c r="N35" s="5">
        <v>-22.1682000001272</v>
      </c>
      <c r="O35" s="5">
        <v>114.15069999694801</v>
      </c>
      <c r="R35" s="6">
        <v>15.9</v>
      </c>
      <c r="S35" s="7">
        <v>90</v>
      </c>
    </row>
    <row r="36" spans="1:19" x14ac:dyDescent="0.25">
      <c r="A36" t="s">
        <v>329</v>
      </c>
      <c r="B36" t="s">
        <v>26</v>
      </c>
      <c r="C36" t="s">
        <v>49</v>
      </c>
      <c r="D36" s="4">
        <v>44411</v>
      </c>
      <c r="E36" t="s">
        <v>238</v>
      </c>
      <c r="F36" t="s">
        <v>204</v>
      </c>
      <c r="G36" t="s">
        <v>205</v>
      </c>
      <c r="J36" s="5">
        <v>-21.965000025431316</v>
      </c>
      <c r="K36" s="5">
        <v>114.25383332570399</v>
      </c>
      <c r="L36" s="5">
        <v>-21.985841679324707</v>
      </c>
      <c r="M36" s="5">
        <v>114.22803332805637</v>
      </c>
      <c r="N36" s="5">
        <v>-22.006683333218099</v>
      </c>
      <c r="O36" s="5">
        <v>114.20223333040873</v>
      </c>
      <c r="S36" s="7">
        <v>60</v>
      </c>
    </row>
    <row r="37" spans="1:19" x14ac:dyDescent="0.25">
      <c r="A37" t="s">
        <v>329</v>
      </c>
      <c r="B37" t="s">
        <v>26</v>
      </c>
      <c r="C37" t="s">
        <v>50</v>
      </c>
      <c r="D37" s="4">
        <v>44505</v>
      </c>
      <c r="E37" t="s">
        <v>203</v>
      </c>
      <c r="F37" t="s">
        <v>204</v>
      </c>
      <c r="G37" t="s">
        <v>239</v>
      </c>
      <c r="J37" s="5">
        <v>-25.921199999999999</v>
      </c>
      <c r="K37" s="5">
        <v>113.22620000000001</v>
      </c>
      <c r="L37" s="5">
        <v>-25.912275000000001</v>
      </c>
      <c r="M37" s="5">
        <v>113.22445</v>
      </c>
      <c r="N37" s="5">
        <v>-25.90335</v>
      </c>
      <c r="O37" s="5">
        <v>113.2227</v>
      </c>
      <c r="R37" s="6">
        <v>10.199999999999999</v>
      </c>
      <c r="S37" s="7">
        <v>20</v>
      </c>
    </row>
    <row r="38" spans="1:19" x14ac:dyDescent="0.25">
      <c r="A38" t="s">
        <v>329</v>
      </c>
      <c r="B38" t="s">
        <v>26</v>
      </c>
      <c r="C38" t="s">
        <v>51</v>
      </c>
      <c r="D38" s="4">
        <v>39908</v>
      </c>
      <c r="E38" t="s">
        <v>203</v>
      </c>
      <c r="F38" t="s">
        <v>240</v>
      </c>
      <c r="G38" t="s">
        <v>239</v>
      </c>
      <c r="J38" s="5">
        <v>-25.576999999999998</v>
      </c>
      <c r="K38" s="5">
        <v>113.2115</v>
      </c>
      <c r="L38" s="5">
        <v>-25.576999999999998</v>
      </c>
      <c r="M38" s="5">
        <v>113.2115</v>
      </c>
      <c r="S38" s="7">
        <v>60</v>
      </c>
    </row>
    <row r="39" spans="1:19" x14ac:dyDescent="0.25">
      <c r="A39" t="s">
        <v>329</v>
      </c>
      <c r="B39" t="s">
        <v>26</v>
      </c>
      <c r="C39" t="s">
        <v>52</v>
      </c>
      <c r="D39" s="4">
        <v>41869</v>
      </c>
      <c r="E39" t="s">
        <v>203</v>
      </c>
      <c r="F39" t="s">
        <v>240</v>
      </c>
      <c r="G39" t="s">
        <v>239</v>
      </c>
      <c r="J39" s="5">
        <v>-25.399916666666666</v>
      </c>
      <c r="K39" s="5">
        <v>113.64064999999999</v>
      </c>
      <c r="L39" s="5">
        <v>-25.390250000000002</v>
      </c>
      <c r="M39" s="5">
        <v>113.626825</v>
      </c>
      <c r="N39" s="5">
        <v>-25.380583333333334</v>
      </c>
      <c r="O39" s="5">
        <v>113.613</v>
      </c>
      <c r="R39" s="6">
        <v>13.7</v>
      </c>
      <c r="S39" s="7">
        <v>30</v>
      </c>
    </row>
    <row r="40" spans="1:19" x14ac:dyDescent="0.25">
      <c r="A40" t="s">
        <v>329</v>
      </c>
      <c r="B40" t="s">
        <v>26</v>
      </c>
      <c r="C40" t="s">
        <v>53</v>
      </c>
      <c r="D40" s="4">
        <v>41869</v>
      </c>
      <c r="E40" t="s">
        <v>203</v>
      </c>
      <c r="F40" t="s">
        <v>240</v>
      </c>
      <c r="G40" t="s">
        <v>239</v>
      </c>
      <c r="J40" s="5">
        <v>-25.392416666666666</v>
      </c>
      <c r="K40" s="5">
        <v>113.58891666666666</v>
      </c>
      <c r="L40" s="5">
        <v>-25.385683333333333</v>
      </c>
      <c r="M40" s="5">
        <v>113.58045833333333</v>
      </c>
      <c r="N40" s="5">
        <v>-25.37895</v>
      </c>
      <c r="O40" s="5">
        <v>113.572</v>
      </c>
      <c r="R40" s="6">
        <v>14.2</v>
      </c>
      <c r="S40" s="7">
        <v>30</v>
      </c>
    </row>
    <row r="41" spans="1:19" x14ac:dyDescent="0.25">
      <c r="A41" t="s">
        <v>329</v>
      </c>
      <c r="B41" t="s">
        <v>26</v>
      </c>
      <c r="C41" t="s">
        <v>54</v>
      </c>
      <c r="D41" s="4">
        <v>41963</v>
      </c>
      <c r="E41" t="s">
        <v>203</v>
      </c>
      <c r="F41" t="s">
        <v>240</v>
      </c>
      <c r="G41" t="s">
        <v>239</v>
      </c>
      <c r="J41" s="5">
        <v>-25.552666666666667</v>
      </c>
      <c r="K41" s="5">
        <v>113.20178333333334</v>
      </c>
      <c r="L41" s="5">
        <v>-25.562158333333333</v>
      </c>
      <c r="M41" s="5">
        <v>113.201975</v>
      </c>
      <c r="N41" s="5">
        <v>-25.571649999999998</v>
      </c>
      <c r="O41" s="5">
        <v>113.20216666666667</v>
      </c>
      <c r="R41" s="6">
        <v>18.100000000000001</v>
      </c>
      <c r="S41" s="7">
        <v>20</v>
      </c>
    </row>
    <row r="42" spans="1:19" x14ac:dyDescent="0.25">
      <c r="A42" t="s">
        <v>329</v>
      </c>
      <c r="B42" t="s">
        <v>26</v>
      </c>
      <c r="C42" t="s">
        <v>55</v>
      </c>
      <c r="D42" s="4">
        <v>42046</v>
      </c>
      <c r="E42" t="s">
        <v>203</v>
      </c>
      <c r="F42" t="s">
        <v>240</v>
      </c>
      <c r="G42" t="s">
        <v>239</v>
      </c>
      <c r="J42" s="5">
        <v>-25.156183333333335</v>
      </c>
      <c r="K42" s="5">
        <v>113.58205</v>
      </c>
      <c r="L42" s="5">
        <v>-25.163041666666665</v>
      </c>
      <c r="M42" s="5">
        <v>113.58944166666666</v>
      </c>
      <c r="N42" s="5">
        <v>-25.169899999999998</v>
      </c>
      <c r="O42" s="5">
        <v>113.59683333333334</v>
      </c>
      <c r="R42" s="6">
        <v>12.9</v>
      </c>
      <c r="S42" s="7">
        <v>20</v>
      </c>
    </row>
    <row r="43" spans="1:19" x14ac:dyDescent="0.25">
      <c r="A43" t="s">
        <v>329</v>
      </c>
      <c r="B43" t="s">
        <v>26</v>
      </c>
      <c r="C43" t="s">
        <v>56</v>
      </c>
      <c r="D43" s="4">
        <v>42051</v>
      </c>
      <c r="E43" t="s">
        <v>203</v>
      </c>
      <c r="F43" t="s">
        <v>240</v>
      </c>
      <c r="G43" t="s">
        <v>239</v>
      </c>
      <c r="J43" s="5">
        <v>-25.259166666666665</v>
      </c>
      <c r="K43" s="5">
        <v>113.44721666666666</v>
      </c>
      <c r="L43" s="5">
        <v>-25.250083333333333</v>
      </c>
      <c r="M43" s="5">
        <v>113.44569166666666</v>
      </c>
      <c r="N43" s="5">
        <v>-25.241</v>
      </c>
      <c r="O43" s="5">
        <v>113.44416666666666</v>
      </c>
      <c r="R43" s="6">
        <v>16.2</v>
      </c>
      <c r="S43" s="7">
        <v>20</v>
      </c>
    </row>
    <row r="44" spans="1:19" x14ac:dyDescent="0.25">
      <c r="A44" t="s">
        <v>329</v>
      </c>
      <c r="B44" t="s">
        <v>26</v>
      </c>
      <c r="C44" t="s">
        <v>57</v>
      </c>
      <c r="D44" s="4">
        <v>42052</v>
      </c>
      <c r="E44" t="s">
        <v>203</v>
      </c>
      <c r="F44" t="s">
        <v>240</v>
      </c>
      <c r="G44" t="s">
        <v>239</v>
      </c>
      <c r="J44" s="5">
        <v>-25.656583333333334</v>
      </c>
      <c r="K44" s="5">
        <v>113.25715</v>
      </c>
      <c r="L44" s="5">
        <v>-25.665675</v>
      </c>
      <c r="M44" s="5">
        <v>113.25715833333334</v>
      </c>
      <c r="N44" s="5">
        <v>-25.674766666666667</v>
      </c>
      <c r="O44" s="5">
        <v>113.25716666666666</v>
      </c>
      <c r="R44" s="6">
        <v>16</v>
      </c>
      <c r="S44" s="7">
        <v>20</v>
      </c>
    </row>
    <row r="45" spans="1:19" x14ac:dyDescent="0.25">
      <c r="A45" t="s">
        <v>329</v>
      </c>
      <c r="B45" t="s">
        <v>26</v>
      </c>
      <c r="C45" t="s">
        <v>58</v>
      </c>
      <c r="D45" s="4">
        <v>42079</v>
      </c>
      <c r="E45" t="s">
        <v>203</v>
      </c>
      <c r="F45" t="s">
        <v>240</v>
      </c>
      <c r="G45" t="s">
        <v>239</v>
      </c>
      <c r="J45" s="5">
        <v>-25.412949999999999</v>
      </c>
      <c r="K45" s="5">
        <v>113.42266666666667</v>
      </c>
      <c r="L45" s="5">
        <v>-25.400458333333333</v>
      </c>
      <c r="M45" s="5">
        <v>113.42041666666667</v>
      </c>
      <c r="N45" s="5">
        <v>-25.387966666666667</v>
      </c>
      <c r="O45" s="5">
        <v>113.41816666666666</v>
      </c>
      <c r="R45" s="6">
        <v>14.1</v>
      </c>
      <c r="S45" s="7">
        <v>25</v>
      </c>
    </row>
    <row r="46" spans="1:19" x14ac:dyDescent="0.25">
      <c r="A46" t="s">
        <v>329</v>
      </c>
      <c r="B46" t="s">
        <v>26</v>
      </c>
      <c r="C46" t="s">
        <v>59</v>
      </c>
      <c r="D46" s="4">
        <v>42079</v>
      </c>
      <c r="E46" t="s">
        <v>203</v>
      </c>
      <c r="F46" t="s">
        <v>240</v>
      </c>
      <c r="G46" t="s">
        <v>239</v>
      </c>
      <c r="J46" s="5">
        <v>-25.412949999999999</v>
      </c>
      <c r="K46" s="5">
        <v>113.42266666666667</v>
      </c>
      <c r="L46" s="5">
        <v>-25.400458333333333</v>
      </c>
      <c r="M46" s="5">
        <v>113.42041666666667</v>
      </c>
      <c r="N46" s="5">
        <v>-25.387966666666667</v>
      </c>
      <c r="O46" s="5">
        <v>113.41816666666666</v>
      </c>
      <c r="R46" s="6">
        <v>14.1</v>
      </c>
      <c r="S46" s="7">
        <v>25</v>
      </c>
    </row>
    <row r="47" spans="1:19" x14ac:dyDescent="0.25">
      <c r="A47" t="s">
        <v>329</v>
      </c>
      <c r="B47" t="s">
        <v>26</v>
      </c>
      <c r="C47" t="s">
        <v>60</v>
      </c>
      <c r="D47" s="4">
        <v>42081</v>
      </c>
      <c r="E47" t="s">
        <v>203</v>
      </c>
      <c r="F47" t="s">
        <v>240</v>
      </c>
      <c r="G47" t="s">
        <v>239</v>
      </c>
      <c r="J47" s="5">
        <v>-25.134833333333333</v>
      </c>
      <c r="K47" s="5">
        <v>113.42619999999999</v>
      </c>
      <c r="L47" s="5">
        <v>-25.121333333333332</v>
      </c>
      <c r="M47" s="5">
        <v>113.41985</v>
      </c>
      <c r="N47" s="5">
        <v>-25.107833333333332</v>
      </c>
      <c r="O47" s="5">
        <v>113.4135</v>
      </c>
      <c r="R47" s="6">
        <v>18.7</v>
      </c>
      <c r="S47" s="7">
        <v>30</v>
      </c>
    </row>
    <row r="48" spans="1:19" x14ac:dyDescent="0.25">
      <c r="A48" t="s">
        <v>329</v>
      </c>
      <c r="B48" t="s">
        <v>26</v>
      </c>
      <c r="C48" t="s">
        <v>61</v>
      </c>
      <c r="D48" s="4">
        <v>42106</v>
      </c>
      <c r="E48" t="s">
        <v>203</v>
      </c>
      <c r="F48" t="s">
        <v>240</v>
      </c>
      <c r="G48" t="s">
        <v>239</v>
      </c>
      <c r="J48" s="5">
        <v>-24.956866666666667</v>
      </c>
      <c r="K48" s="5">
        <v>113.27366666666667</v>
      </c>
      <c r="L48" s="5">
        <v>-24.964266666666667</v>
      </c>
      <c r="M48" s="5">
        <v>113.27835833333333</v>
      </c>
      <c r="N48" s="5">
        <v>-24.971666666666668</v>
      </c>
      <c r="O48" s="5">
        <v>113.28305</v>
      </c>
      <c r="R48" s="6">
        <v>19.5</v>
      </c>
      <c r="S48" s="7">
        <v>20</v>
      </c>
    </row>
    <row r="49" spans="1:19" x14ac:dyDescent="0.25">
      <c r="A49" t="s">
        <v>329</v>
      </c>
      <c r="B49" t="s">
        <v>26</v>
      </c>
      <c r="C49" t="s">
        <v>62</v>
      </c>
      <c r="D49" s="4">
        <v>42106</v>
      </c>
      <c r="E49" t="s">
        <v>203</v>
      </c>
      <c r="F49" t="s">
        <v>240</v>
      </c>
      <c r="G49" t="s">
        <v>239</v>
      </c>
      <c r="J49" s="5">
        <v>-25.105783333333335</v>
      </c>
      <c r="K49" s="5">
        <v>113.32980000000001</v>
      </c>
      <c r="L49" s="5">
        <v>-25.114100000000001</v>
      </c>
      <c r="M49" s="5">
        <v>113.33262500000001</v>
      </c>
      <c r="N49" s="5">
        <v>-25.122416666666666</v>
      </c>
      <c r="O49" s="5">
        <v>113.33544999999999</v>
      </c>
      <c r="R49" s="6">
        <v>22.2</v>
      </c>
      <c r="S49" s="7">
        <v>20</v>
      </c>
    </row>
    <row r="50" spans="1:19" x14ac:dyDescent="0.25">
      <c r="A50" t="s">
        <v>329</v>
      </c>
      <c r="B50" t="s">
        <v>26</v>
      </c>
      <c r="C50" t="s">
        <v>63</v>
      </c>
      <c r="D50" s="4">
        <v>42107</v>
      </c>
      <c r="E50" t="s">
        <v>203</v>
      </c>
      <c r="F50" t="s">
        <v>240</v>
      </c>
      <c r="G50" t="s">
        <v>239</v>
      </c>
      <c r="J50" s="5">
        <v>-25.375733333333333</v>
      </c>
      <c r="K50" s="5">
        <v>113.44148333333334</v>
      </c>
      <c r="L50" s="5">
        <v>-25.384866666666667</v>
      </c>
      <c r="M50" s="5">
        <v>113.44068333333334</v>
      </c>
      <c r="N50" s="5">
        <v>-25.393999999999998</v>
      </c>
      <c r="O50" s="5">
        <v>113.43988333333333</v>
      </c>
      <c r="R50" s="6">
        <v>13.8</v>
      </c>
      <c r="S50" s="7">
        <v>20</v>
      </c>
    </row>
    <row r="51" spans="1:19" x14ac:dyDescent="0.25">
      <c r="A51" t="s">
        <v>329</v>
      </c>
      <c r="B51" t="s">
        <v>26</v>
      </c>
      <c r="C51" t="s">
        <v>64</v>
      </c>
      <c r="D51" s="4">
        <v>42136</v>
      </c>
      <c r="E51" t="s">
        <v>203</v>
      </c>
      <c r="F51" t="s">
        <v>240</v>
      </c>
      <c r="G51" t="s">
        <v>239</v>
      </c>
      <c r="J51" s="5">
        <v>-25.338650000000001</v>
      </c>
      <c r="K51" s="5">
        <v>113.55853333333333</v>
      </c>
      <c r="L51" s="5">
        <v>-25.329491666666669</v>
      </c>
      <c r="M51" s="5">
        <v>113.55390833333334</v>
      </c>
      <c r="N51" s="5">
        <v>-25.320333333333334</v>
      </c>
      <c r="O51" s="5">
        <v>113.54928333333334</v>
      </c>
      <c r="R51" s="6">
        <v>14.1</v>
      </c>
      <c r="S51" s="7">
        <v>20</v>
      </c>
    </row>
    <row r="52" spans="1:19" x14ac:dyDescent="0.25">
      <c r="A52" t="s">
        <v>329</v>
      </c>
      <c r="B52" t="s">
        <v>26</v>
      </c>
      <c r="C52" t="s">
        <v>65</v>
      </c>
      <c r="D52" s="4">
        <v>42318</v>
      </c>
      <c r="E52" t="s">
        <v>203</v>
      </c>
      <c r="F52" t="s">
        <v>240</v>
      </c>
      <c r="G52" t="s">
        <v>239</v>
      </c>
      <c r="J52" s="5">
        <v>-25.366816666666665</v>
      </c>
      <c r="K52" s="5">
        <v>113.66715000000001</v>
      </c>
      <c r="L52" s="5">
        <v>-25.375183333333332</v>
      </c>
      <c r="M52" s="5">
        <v>113.67011666666667</v>
      </c>
      <c r="N52" s="5">
        <v>-25.38355</v>
      </c>
      <c r="O52" s="5">
        <v>113.67308333333334</v>
      </c>
      <c r="R52" s="6">
        <v>13.4</v>
      </c>
      <c r="S52" s="7">
        <v>20</v>
      </c>
    </row>
    <row r="53" spans="1:19" x14ac:dyDescent="0.25">
      <c r="A53" t="s">
        <v>329</v>
      </c>
      <c r="B53" t="s">
        <v>26</v>
      </c>
      <c r="C53" t="s">
        <v>66</v>
      </c>
      <c r="D53" s="4">
        <v>42321</v>
      </c>
      <c r="E53" t="s">
        <v>203</v>
      </c>
      <c r="F53" t="s">
        <v>240</v>
      </c>
      <c r="G53" t="s">
        <v>239</v>
      </c>
      <c r="J53" s="5">
        <v>-24.883849999999999</v>
      </c>
      <c r="K53" s="5">
        <v>113.27676666666666</v>
      </c>
      <c r="L53" s="5">
        <v>-24.875133333333331</v>
      </c>
      <c r="M53" s="5">
        <v>113.27775833333334</v>
      </c>
      <c r="N53" s="5">
        <v>-24.866416666666666</v>
      </c>
      <c r="O53" s="5">
        <v>113.27875</v>
      </c>
      <c r="R53" s="6">
        <v>19.899999999999999</v>
      </c>
      <c r="S53" s="7">
        <v>20</v>
      </c>
    </row>
    <row r="54" spans="1:19" x14ac:dyDescent="0.25">
      <c r="A54" t="s">
        <v>329</v>
      </c>
      <c r="B54" t="s">
        <v>26</v>
      </c>
      <c r="C54" t="s">
        <v>67</v>
      </c>
      <c r="D54" s="4">
        <v>42322</v>
      </c>
      <c r="E54" t="s">
        <v>203</v>
      </c>
      <c r="F54" t="s">
        <v>240</v>
      </c>
      <c r="G54" t="s">
        <v>239</v>
      </c>
      <c r="J54" s="5">
        <v>-24.952300000000001</v>
      </c>
      <c r="K54" s="5">
        <v>113.19983333333333</v>
      </c>
      <c r="L54" s="5">
        <v>-24.961316666666669</v>
      </c>
      <c r="M54" s="5">
        <v>113.19760833333333</v>
      </c>
      <c r="N54" s="5">
        <v>-24.970333333333333</v>
      </c>
      <c r="O54" s="5">
        <v>113.19538333333334</v>
      </c>
      <c r="R54" s="6">
        <v>16.7</v>
      </c>
      <c r="S54" s="7">
        <v>20</v>
      </c>
    </row>
    <row r="55" spans="1:19" x14ac:dyDescent="0.25">
      <c r="A55" t="s">
        <v>329</v>
      </c>
      <c r="B55" t="s">
        <v>26</v>
      </c>
      <c r="C55" t="s">
        <v>68</v>
      </c>
      <c r="D55" s="4">
        <v>42326</v>
      </c>
      <c r="E55" t="s">
        <v>203</v>
      </c>
      <c r="F55" t="s">
        <v>240</v>
      </c>
      <c r="G55" t="s">
        <v>239</v>
      </c>
      <c r="J55" s="5">
        <v>-25.572583333333334</v>
      </c>
      <c r="K55" s="5">
        <v>113.20173333333334</v>
      </c>
      <c r="L55" s="5">
        <v>-25.563775</v>
      </c>
      <c r="M55" s="5">
        <v>113.20355000000001</v>
      </c>
      <c r="N55" s="5">
        <v>-25.554966666666665</v>
      </c>
      <c r="O55" s="5">
        <v>113.20536666666666</v>
      </c>
      <c r="R55" s="6">
        <v>18</v>
      </c>
      <c r="S55" s="7">
        <v>20</v>
      </c>
    </row>
    <row r="56" spans="1:19" x14ac:dyDescent="0.25">
      <c r="A56" t="s">
        <v>329</v>
      </c>
      <c r="B56" t="s">
        <v>26</v>
      </c>
      <c r="C56" t="s">
        <v>69</v>
      </c>
      <c r="D56" s="4">
        <v>42425</v>
      </c>
      <c r="E56" t="s">
        <v>203</v>
      </c>
      <c r="F56" t="s">
        <v>240</v>
      </c>
      <c r="G56" t="s">
        <v>239</v>
      </c>
      <c r="J56" s="5">
        <v>-25.605733333333333</v>
      </c>
      <c r="K56" s="5">
        <v>113.22038333333333</v>
      </c>
      <c r="L56" s="5">
        <v>-25.596308333333333</v>
      </c>
      <c r="M56" s="5">
        <v>113.21811666666667</v>
      </c>
      <c r="N56" s="5">
        <v>-25.586883333333333</v>
      </c>
      <c r="O56" s="5">
        <v>113.21585</v>
      </c>
      <c r="R56" s="6">
        <v>16.399999999999999</v>
      </c>
      <c r="S56" s="7">
        <v>20</v>
      </c>
    </row>
    <row r="57" spans="1:19" x14ac:dyDescent="0.25">
      <c r="A57" t="s">
        <v>329</v>
      </c>
      <c r="B57" t="s">
        <v>26</v>
      </c>
      <c r="C57" t="s">
        <v>70</v>
      </c>
      <c r="D57" s="4">
        <v>42426</v>
      </c>
      <c r="E57" t="s">
        <v>203</v>
      </c>
      <c r="F57" t="s">
        <v>240</v>
      </c>
      <c r="G57" t="s">
        <v>239</v>
      </c>
      <c r="J57" s="5">
        <v>-25.583749999999998</v>
      </c>
      <c r="K57" s="5">
        <v>113.2273</v>
      </c>
      <c r="L57" s="5">
        <v>-25.574416666666664</v>
      </c>
      <c r="M57" s="5">
        <v>113.22646666666667</v>
      </c>
      <c r="N57" s="5">
        <v>-25.565083333333334</v>
      </c>
      <c r="O57" s="5">
        <v>113.22563333333333</v>
      </c>
      <c r="R57" s="6">
        <v>16.600000000000001</v>
      </c>
      <c r="S57" s="7">
        <v>20</v>
      </c>
    </row>
    <row r="58" spans="1:19" x14ac:dyDescent="0.25">
      <c r="A58" t="s">
        <v>329</v>
      </c>
      <c r="B58" t="s">
        <v>26</v>
      </c>
      <c r="C58" t="s">
        <v>71</v>
      </c>
      <c r="D58" s="4">
        <v>42487</v>
      </c>
      <c r="E58" t="s">
        <v>203</v>
      </c>
      <c r="F58" t="s">
        <v>240</v>
      </c>
      <c r="G58" t="s">
        <v>239</v>
      </c>
      <c r="J58" s="5">
        <v>-25.2317</v>
      </c>
      <c r="K58" s="5">
        <v>113.44621666666667</v>
      </c>
      <c r="L58" s="5">
        <v>-25.240349999999999</v>
      </c>
      <c r="M58" s="5">
        <v>113.44492500000001</v>
      </c>
      <c r="N58" s="5">
        <v>-25.248999999999999</v>
      </c>
      <c r="O58" s="5">
        <v>113.44363333333334</v>
      </c>
      <c r="R58" s="6">
        <v>15.7</v>
      </c>
      <c r="S58" s="7">
        <v>20</v>
      </c>
    </row>
    <row r="59" spans="1:19" x14ac:dyDescent="0.25">
      <c r="A59" t="s">
        <v>329</v>
      </c>
      <c r="B59" t="s">
        <v>26</v>
      </c>
      <c r="C59" t="s">
        <v>72</v>
      </c>
      <c r="D59" s="4">
        <v>42488</v>
      </c>
      <c r="E59" t="s">
        <v>203</v>
      </c>
      <c r="F59" t="s">
        <v>240</v>
      </c>
      <c r="G59" t="s">
        <v>239</v>
      </c>
      <c r="J59" s="5">
        <v>-25.275966666666665</v>
      </c>
      <c r="K59" s="5">
        <v>113.38178333333333</v>
      </c>
      <c r="L59" s="5">
        <v>-25.284983333333333</v>
      </c>
      <c r="M59" s="5">
        <v>113.38436666666666</v>
      </c>
      <c r="N59" s="5">
        <v>-25.294</v>
      </c>
      <c r="O59" s="5">
        <v>113.38695</v>
      </c>
      <c r="R59" s="6">
        <v>15.6</v>
      </c>
      <c r="S59" s="7">
        <v>20</v>
      </c>
    </row>
    <row r="60" spans="1:19" x14ac:dyDescent="0.25">
      <c r="A60" t="s">
        <v>329</v>
      </c>
      <c r="B60" t="s">
        <v>26</v>
      </c>
      <c r="C60" t="s">
        <v>73</v>
      </c>
      <c r="D60" s="4">
        <v>42490</v>
      </c>
      <c r="E60" t="s">
        <v>203</v>
      </c>
      <c r="F60" t="s">
        <v>240</v>
      </c>
      <c r="G60" t="s">
        <v>239</v>
      </c>
      <c r="J60" s="5">
        <v>-25.049166666666668</v>
      </c>
      <c r="K60" s="5">
        <v>113.28385</v>
      </c>
      <c r="L60" s="5">
        <v>-25.057425000000002</v>
      </c>
      <c r="M60" s="5">
        <v>113.284425</v>
      </c>
      <c r="N60" s="5">
        <v>-25.065683333333332</v>
      </c>
      <c r="O60" s="5">
        <v>113.285</v>
      </c>
      <c r="R60" s="6">
        <v>16</v>
      </c>
      <c r="S60" s="7">
        <v>20</v>
      </c>
    </row>
    <row r="61" spans="1:19" x14ac:dyDescent="0.25">
      <c r="A61" t="s">
        <v>329</v>
      </c>
      <c r="B61" t="s">
        <v>26</v>
      </c>
      <c r="C61" t="s">
        <v>74</v>
      </c>
      <c r="D61" s="4">
        <v>42490</v>
      </c>
      <c r="E61" t="s">
        <v>203</v>
      </c>
      <c r="F61" t="s">
        <v>240</v>
      </c>
      <c r="G61" t="s">
        <v>239</v>
      </c>
      <c r="J61" s="5">
        <v>-25.049166666666668</v>
      </c>
      <c r="K61" s="5">
        <v>113.28385</v>
      </c>
      <c r="L61" s="5">
        <v>-25.057425000000002</v>
      </c>
      <c r="M61" s="5">
        <v>113.284425</v>
      </c>
      <c r="N61" s="5">
        <v>-25.065683333333332</v>
      </c>
      <c r="O61" s="5">
        <v>113.285</v>
      </c>
      <c r="R61" s="6">
        <v>16</v>
      </c>
      <c r="S61" s="7">
        <v>20</v>
      </c>
    </row>
    <row r="62" spans="1:19" x14ac:dyDescent="0.25">
      <c r="A62" t="s">
        <v>329</v>
      </c>
      <c r="B62" t="s">
        <v>26</v>
      </c>
      <c r="C62" t="s">
        <v>75</v>
      </c>
      <c r="D62" s="4">
        <v>42490</v>
      </c>
      <c r="E62" t="s">
        <v>203</v>
      </c>
      <c r="F62" t="s">
        <v>240</v>
      </c>
      <c r="G62" t="s">
        <v>239</v>
      </c>
      <c r="J62" s="5">
        <v>-24.8809</v>
      </c>
      <c r="K62" s="5">
        <v>113.26851666666667</v>
      </c>
      <c r="L62" s="5">
        <v>-24.872033333333334</v>
      </c>
      <c r="M62" s="5">
        <v>113.26814166666666</v>
      </c>
      <c r="N62" s="5">
        <v>-24.863166666666668</v>
      </c>
      <c r="O62" s="5">
        <v>113.26776666666666</v>
      </c>
      <c r="R62" s="6">
        <v>18.600000000000001</v>
      </c>
      <c r="S62" s="7">
        <v>20</v>
      </c>
    </row>
    <row r="63" spans="1:19" x14ac:dyDescent="0.25">
      <c r="A63" t="s">
        <v>329</v>
      </c>
      <c r="B63" t="s">
        <v>26</v>
      </c>
      <c r="C63" t="s">
        <v>76</v>
      </c>
      <c r="D63" s="4">
        <v>42491</v>
      </c>
      <c r="E63" t="s">
        <v>203</v>
      </c>
      <c r="F63" t="s">
        <v>240</v>
      </c>
      <c r="G63" t="s">
        <v>239</v>
      </c>
      <c r="J63" s="5">
        <v>-24.810749999999999</v>
      </c>
      <c r="K63" s="5">
        <v>113.23751666666666</v>
      </c>
      <c r="L63" s="5">
        <v>-24.80115</v>
      </c>
      <c r="M63" s="5">
        <v>113.23859166666666</v>
      </c>
      <c r="N63" s="5">
        <v>-24.791550000000001</v>
      </c>
      <c r="O63" s="5">
        <v>113.23966666666666</v>
      </c>
      <c r="R63" s="6">
        <v>20.3</v>
      </c>
      <c r="S63" s="7">
        <v>20</v>
      </c>
    </row>
    <row r="64" spans="1:19" x14ac:dyDescent="0.25">
      <c r="A64" t="s">
        <v>329</v>
      </c>
      <c r="B64" t="s">
        <v>26</v>
      </c>
      <c r="C64" t="s">
        <v>77</v>
      </c>
      <c r="D64" s="4">
        <v>42495</v>
      </c>
      <c r="E64" t="s">
        <v>203</v>
      </c>
      <c r="F64" t="s">
        <v>240</v>
      </c>
      <c r="G64" t="s">
        <v>239</v>
      </c>
      <c r="J64" s="5">
        <v>-25.573333333333334</v>
      </c>
      <c r="K64" s="5">
        <v>113.20314999999999</v>
      </c>
      <c r="L64" s="5">
        <v>-25.564583333333331</v>
      </c>
      <c r="M64" s="5">
        <v>113.20325833333334</v>
      </c>
      <c r="N64" s="5">
        <v>-25.555833333333332</v>
      </c>
      <c r="O64" s="5">
        <v>113.20336666666667</v>
      </c>
      <c r="R64" s="6">
        <v>16.8</v>
      </c>
      <c r="S64" s="7">
        <v>20</v>
      </c>
    </row>
    <row r="65" spans="1:19" x14ac:dyDescent="0.25">
      <c r="A65" t="s">
        <v>329</v>
      </c>
      <c r="B65" t="s">
        <v>26</v>
      </c>
      <c r="C65" t="s">
        <v>78</v>
      </c>
      <c r="D65" s="4">
        <v>42495</v>
      </c>
      <c r="E65" t="s">
        <v>203</v>
      </c>
      <c r="F65" t="s">
        <v>240</v>
      </c>
      <c r="G65" t="s">
        <v>239</v>
      </c>
      <c r="J65" s="5">
        <v>-25.573333333333334</v>
      </c>
      <c r="K65" s="5">
        <v>113.20314999999999</v>
      </c>
      <c r="L65" s="5">
        <v>-25.564583333333331</v>
      </c>
      <c r="M65" s="5">
        <v>113.20325833333334</v>
      </c>
      <c r="N65" s="5">
        <v>-25.555833333333332</v>
      </c>
      <c r="O65" s="5">
        <v>113.20336666666667</v>
      </c>
      <c r="R65" s="6">
        <v>16.8</v>
      </c>
      <c r="S65" s="7">
        <v>20</v>
      </c>
    </row>
    <row r="66" spans="1:19" x14ac:dyDescent="0.25">
      <c r="A66" t="s">
        <v>329</v>
      </c>
      <c r="B66" t="s">
        <v>26</v>
      </c>
      <c r="C66" t="s">
        <v>79</v>
      </c>
      <c r="D66" s="4">
        <v>42495</v>
      </c>
      <c r="E66" t="s">
        <v>203</v>
      </c>
      <c r="F66" t="s">
        <v>240</v>
      </c>
      <c r="G66" t="s">
        <v>239</v>
      </c>
      <c r="J66" s="5">
        <v>-25.573333333333334</v>
      </c>
      <c r="K66" s="5">
        <v>113.20314999999999</v>
      </c>
      <c r="L66" s="5">
        <v>-25.564583333333331</v>
      </c>
      <c r="M66" s="5">
        <v>113.20325833333334</v>
      </c>
      <c r="N66" s="5">
        <v>-25.555833333333332</v>
      </c>
      <c r="O66" s="5">
        <v>113.20336666666667</v>
      </c>
      <c r="R66" s="6">
        <v>16.8</v>
      </c>
      <c r="S66" s="7">
        <v>20</v>
      </c>
    </row>
    <row r="67" spans="1:19" x14ac:dyDescent="0.25">
      <c r="A67" t="s">
        <v>329</v>
      </c>
      <c r="B67" t="s">
        <v>26</v>
      </c>
      <c r="C67" t="s">
        <v>80</v>
      </c>
      <c r="D67" s="4">
        <v>42551</v>
      </c>
      <c r="E67" t="s">
        <v>203</v>
      </c>
      <c r="F67" t="s">
        <v>240</v>
      </c>
      <c r="G67" t="s">
        <v>239</v>
      </c>
      <c r="J67" s="5">
        <v>-25.098933333333335</v>
      </c>
      <c r="K67" s="5">
        <v>113.28476666666667</v>
      </c>
      <c r="L67" s="5">
        <v>-25.107308333333336</v>
      </c>
      <c r="M67" s="5">
        <v>113.285225</v>
      </c>
      <c r="N67" s="5">
        <v>-25.115683333333333</v>
      </c>
      <c r="O67" s="5">
        <v>113.28568333333334</v>
      </c>
      <c r="R67" s="6">
        <v>16.7</v>
      </c>
      <c r="S67" s="7">
        <v>20</v>
      </c>
    </row>
    <row r="68" spans="1:19" x14ac:dyDescent="0.25">
      <c r="A68" t="s">
        <v>329</v>
      </c>
      <c r="B68" t="s">
        <v>26</v>
      </c>
      <c r="C68" t="s">
        <v>81</v>
      </c>
      <c r="D68" s="4">
        <v>42608</v>
      </c>
      <c r="E68" t="s">
        <v>203</v>
      </c>
      <c r="F68" t="s">
        <v>240</v>
      </c>
      <c r="G68" t="s">
        <v>239</v>
      </c>
      <c r="J68" s="5">
        <v>-25.638016666666665</v>
      </c>
      <c r="K68" s="5">
        <v>113.16046666666666</v>
      </c>
      <c r="L68" s="5">
        <v>-25.654891666666664</v>
      </c>
      <c r="M68" s="5">
        <v>113.16915</v>
      </c>
      <c r="N68" s="5">
        <v>-25.671766666666667</v>
      </c>
      <c r="O68" s="5">
        <v>113.17783333333334</v>
      </c>
      <c r="R68" s="6">
        <v>19.3</v>
      </c>
      <c r="S68" s="7">
        <v>30</v>
      </c>
    </row>
    <row r="69" spans="1:19" x14ac:dyDescent="0.25">
      <c r="A69" t="s">
        <v>329</v>
      </c>
      <c r="B69" t="s">
        <v>26</v>
      </c>
      <c r="C69" t="s">
        <v>82</v>
      </c>
      <c r="D69" s="4">
        <v>42608</v>
      </c>
      <c r="E69" t="s">
        <v>203</v>
      </c>
      <c r="F69" t="s">
        <v>240</v>
      </c>
      <c r="G69" t="s">
        <v>239</v>
      </c>
      <c r="J69" s="5">
        <v>-25.638016666666665</v>
      </c>
      <c r="K69" s="5">
        <v>113.16046666666666</v>
      </c>
      <c r="L69" s="5">
        <v>-25.654891666666664</v>
      </c>
      <c r="M69" s="5">
        <v>113.16915</v>
      </c>
      <c r="N69" s="5">
        <v>-25.671766666666667</v>
      </c>
      <c r="O69" s="5">
        <v>113.17783333333334</v>
      </c>
      <c r="R69" s="6">
        <v>19.3</v>
      </c>
      <c r="S69" s="7">
        <v>30</v>
      </c>
    </row>
    <row r="70" spans="1:19" x14ac:dyDescent="0.25">
      <c r="A70" t="s">
        <v>329</v>
      </c>
      <c r="B70" t="s">
        <v>26</v>
      </c>
      <c r="C70" t="s">
        <v>83</v>
      </c>
      <c r="D70" s="4">
        <v>42692</v>
      </c>
      <c r="E70" t="s">
        <v>203</v>
      </c>
      <c r="F70" t="s">
        <v>240</v>
      </c>
      <c r="G70" t="s">
        <v>239</v>
      </c>
      <c r="J70" s="5">
        <v>-24.936599999999999</v>
      </c>
      <c r="K70" s="5">
        <v>113.29828333333333</v>
      </c>
      <c r="L70" s="5">
        <v>-24.929433333333332</v>
      </c>
      <c r="M70" s="5">
        <v>113.29508333333334</v>
      </c>
      <c r="N70" s="5">
        <v>-24.922266666666665</v>
      </c>
      <c r="O70" s="5">
        <v>113.29188333333333</v>
      </c>
      <c r="R70" s="6">
        <v>20.8</v>
      </c>
      <c r="S70" s="7">
        <v>20</v>
      </c>
    </row>
    <row r="71" spans="1:19" x14ac:dyDescent="0.25">
      <c r="A71" t="s">
        <v>329</v>
      </c>
      <c r="B71" t="s">
        <v>26</v>
      </c>
      <c r="C71" t="s">
        <v>84</v>
      </c>
      <c r="D71" s="4">
        <v>42693</v>
      </c>
      <c r="E71" t="s">
        <v>203</v>
      </c>
      <c r="F71" t="s">
        <v>240</v>
      </c>
      <c r="G71" t="s">
        <v>239</v>
      </c>
      <c r="J71" s="5">
        <v>-24.974083333333333</v>
      </c>
      <c r="K71" s="5">
        <v>113.19398333333334</v>
      </c>
      <c r="L71" s="5">
        <v>-24.965333333333334</v>
      </c>
      <c r="M71" s="5">
        <v>113.19565</v>
      </c>
      <c r="N71" s="5">
        <v>-24.956583333333334</v>
      </c>
      <c r="O71" s="5">
        <v>113.19731666666667</v>
      </c>
      <c r="R71" s="6">
        <v>14.9</v>
      </c>
      <c r="S71" s="7">
        <v>20</v>
      </c>
    </row>
    <row r="72" spans="1:19" x14ac:dyDescent="0.25">
      <c r="A72" t="s">
        <v>329</v>
      </c>
      <c r="B72" t="s">
        <v>26</v>
      </c>
      <c r="C72" t="s">
        <v>85</v>
      </c>
      <c r="D72" s="4">
        <v>42696</v>
      </c>
      <c r="E72" t="s">
        <v>203</v>
      </c>
      <c r="F72" t="s">
        <v>240</v>
      </c>
      <c r="G72" t="s">
        <v>239</v>
      </c>
      <c r="J72" s="5">
        <v>-25.345949999999998</v>
      </c>
      <c r="K72" s="5">
        <v>113.61245</v>
      </c>
      <c r="L72" s="5">
        <v>-25.336941666666668</v>
      </c>
      <c r="M72" s="5">
        <v>113.61196666666666</v>
      </c>
      <c r="N72" s="5">
        <v>-25.327933333333334</v>
      </c>
      <c r="O72" s="5">
        <v>113.61148333333334</v>
      </c>
      <c r="R72" s="6">
        <v>12.8</v>
      </c>
      <c r="S72" s="7">
        <v>20</v>
      </c>
    </row>
    <row r="73" spans="1:19" x14ac:dyDescent="0.25">
      <c r="A73" t="s">
        <v>329</v>
      </c>
      <c r="B73" t="s">
        <v>26</v>
      </c>
      <c r="C73" t="s">
        <v>86</v>
      </c>
      <c r="D73" s="4">
        <v>42700</v>
      </c>
      <c r="E73" t="s">
        <v>203</v>
      </c>
      <c r="F73" t="s">
        <v>240</v>
      </c>
      <c r="G73" t="s">
        <v>239</v>
      </c>
      <c r="J73" s="5">
        <v>-25.426483333333334</v>
      </c>
      <c r="K73" s="5">
        <v>113.37333333333333</v>
      </c>
      <c r="L73" s="5">
        <v>-25.435241666666666</v>
      </c>
      <c r="M73" s="5">
        <v>113.37581666666667</v>
      </c>
      <c r="N73" s="5">
        <v>-25.443999999999999</v>
      </c>
      <c r="O73" s="5">
        <v>113.3783</v>
      </c>
      <c r="R73" s="6">
        <v>15.3</v>
      </c>
      <c r="S73" s="7">
        <v>20</v>
      </c>
    </row>
    <row r="74" spans="1:19" x14ac:dyDescent="0.25">
      <c r="A74" t="s">
        <v>329</v>
      </c>
      <c r="B74" t="s">
        <v>26</v>
      </c>
      <c r="C74" t="s">
        <v>87</v>
      </c>
      <c r="D74" s="4">
        <v>42702</v>
      </c>
      <c r="E74" t="s">
        <v>203</v>
      </c>
      <c r="F74" t="s">
        <v>240</v>
      </c>
      <c r="G74" t="s">
        <v>239</v>
      </c>
      <c r="J74" s="5">
        <v>-25.605016666666668</v>
      </c>
      <c r="K74" s="5">
        <v>113.21061666666667</v>
      </c>
      <c r="L74" s="5">
        <v>-25.596233333333334</v>
      </c>
      <c r="M74" s="5">
        <v>113.21271666666667</v>
      </c>
      <c r="N74" s="5">
        <v>-25.58745</v>
      </c>
      <c r="O74" s="5">
        <v>113.21481666666666</v>
      </c>
      <c r="R74" s="6">
        <v>15.9</v>
      </c>
      <c r="S74" s="7">
        <v>20</v>
      </c>
    </row>
    <row r="75" spans="1:19" x14ac:dyDescent="0.25">
      <c r="A75" t="s">
        <v>329</v>
      </c>
      <c r="B75" t="s">
        <v>26</v>
      </c>
      <c r="C75" t="s">
        <v>88</v>
      </c>
      <c r="D75" s="4">
        <v>42787</v>
      </c>
      <c r="E75" t="s">
        <v>203</v>
      </c>
      <c r="F75" t="s">
        <v>240</v>
      </c>
      <c r="G75" t="s">
        <v>239</v>
      </c>
      <c r="J75" s="5">
        <v>-25.521899999999999</v>
      </c>
      <c r="K75" s="5">
        <v>113.6281</v>
      </c>
      <c r="L75" s="5">
        <v>-25.512816666666666</v>
      </c>
      <c r="M75" s="5">
        <v>113.63065</v>
      </c>
      <c r="N75" s="5">
        <v>-25.503733333333333</v>
      </c>
      <c r="O75" s="5">
        <v>113.6332</v>
      </c>
      <c r="R75" s="6">
        <v>12.3</v>
      </c>
      <c r="S75" s="7">
        <v>20</v>
      </c>
    </row>
    <row r="76" spans="1:19" x14ac:dyDescent="0.25">
      <c r="A76" t="s">
        <v>329</v>
      </c>
      <c r="B76" t="s">
        <v>26</v>
      </c>
      <c r="C76" t="s">
        <v>89</v>
      </c>
      <c r="D76" s="4">
        <v>42789</v>
      </c>
      <c r="E76" t="s">
        <v>203</v>
      </c>
      <c r="F76" t="s">
        <v>240</v>
      </c>
      <c r="G76" t="s">
        <v>239</v>
      </c>
      <c r="J76" s="5">
        <v>-25.260750000000002</v>
      </c>
      <c r="K76" s="5">
        <v>113.45359999999999</v>
      </c>
      <c r="L76" s="5">
        <v>-25.25159166666667</v>
      </c>
      <c r="M76" s="5">
        <v>113.45455833333332</v>
      </c>
      <c r="N76" s="5">
        <v>-25.242433333333334</v>
      </c>
      <c r="O76" s="5">
        <v>113.45551666666667</v>
      </c>
      <c r="R76" s="6">
        <v>15.2</v>
      </c>
      <c r="S76" s="7">
        <v>20</v>
      </c>
    </row>
    <row r="77" spans="1:19" x14ac:dyDescent="0.25">
      <c r="A77" t="s">
        <v>329</v>
      </c>
      <c r="B77" t="s">
        <v>26</v>
      </c>
      <c r="C77" t="s">
        <v>90</v>
      </c>
      <c r="D77" s="4">
        <v>42789</v>
      </c>
      <c r="E77" t="s">
        <v>203</v>
      </c>
      <c r="F77" t="s">
        <v>240</v>
      </c>
      <c r="G77" t="s">
        <v>239</v>
      </c>
      <c r="J77" s="5">
        <v>-25.295950000000001</v>
      </c>
      <c r="K77" s="5">
        <v>113.42796666666666</v>
      </c>
      <c r="L77" s="5">
        <v>-25.304825000000001</v>
      </c>
      <c r="M77" s="5">
        <v>113.42764166666666</v>
      </c>
      <c r="N77" s="5">
        <v>-25.313700000000001</v>
      </c>
      <c r="O77" s="5">
        <v>113.42731666666667</v>
      </c>
      <c r="R77" s="6">
        <v>15.8</v>
      </c>
      <c r="S77" s="7">
        <v>20</v>
      </c>
    </row>
    <row r="78" spans="1:19" x14ac:dyDescent="0.25">
      <c r="A78" t="s">
        <v>329</v>
      </c>
      <c r="B78" t="s">
        <v>26</v>
      </c>
      <c r="C78" t="s">
        <v>91</v>
      </c>
      <c r="D78" s="4">
        <v>42790</v>
      </c>
      <c r="E78" t="s">
        <v>203</v>
      </c>
      <c r="F78" t="s">
        <v>240</v>
      </c>
      <c r="G78" t="s">
        <v>239</v>
      </c>
      <c r="J78" s="5">
        <v>-25.673033333333333</v>
      </c>
      <c r="K78" s="5">
        <v>113.21303333333333</v>
      </c>
      <c r="L78" s="5">
        <v>-25.664299999999997</v>
      </c>
      <c r="M78" s="5">
        <v>113.21023333333332</v>
      </c>
      <c r="N78" s="5">
        <v>-25.655566666666665</v>
      </c>
      <c r="O78" s="5">
        <v>113.20743333333333</v>
      </c>
      <c r="R78" s="6">
        <v>17.3</v>
      </c>
      <c r="S78" s="7">
        <v>20</v>
      </c>
    </row>
    <row r="79" spans="1:19" x14ac:dyDescent="0.25">
      <c r="A79" t="s">
        <v>329</v>
      </c>
      <c r="B79" t="s">
        <v>26</v>
      </c>
      <c r="C79" t="s">
        <v>92</v>
      </c>
      <c r="D79" s="4">
        <v>42790</v>
      </c>
      <c r="E79" t="s">
        <v>203</v>
      </c>
      <c r="F79" t="s">
        <v>240</v>
      </c>
      <c r="G79" t="s">
        <v>239</v>
      </c>
      <c r="J79" s="5">
        <v>-25.607166666666668</v>
      </c>
      <c r="K79" s="5">
        <v>113.20726666666667</v>
      </c>
      <c r="L79" s="5">
        <v>-25.599008333333334</v>
      </c>
      <c r="M79" s="5">
        <v>113.209525</v>
      </c>
      <c r="N79" s="5">
        <v>-25.59085</v>
      </c>
      <c r="O79" s="5">
        <v>113.21178333333333</v>
      </c>
      <c r="R79" s="6">
        <v>15.9</v>
      </c>
      <c r="S79" s="7">
        <v>20</v>
      </c>
    </row>
    <row r="80" spans="1:19" x14ac:dyDescent="0.25">
      <c r="A80" t="s">
        <v>329</v>
      </c>
      <c r="B80" t="s">
        <v>26</v>
      </c>
      <c r="C80" t="s">
        <v>93</v>
      </c>
      <c r="D80" s="4">
        <v>42814</v>
      </c>
      <c r="E80" t="s">
        <v>203</v>
      </c>
      <c r="F80" t="s">
        <v>240</v>
      </c>
      <c r="G80" t="s">
        <v>239</v>
      </c>
      <c r="J80" s="5">
        <v>-25.104800001780191</v>
      </c>
      <c r="K80" s="5">
        <v>113.41763334274292</v>
      </c>
      <c r="L80" s="5">
        <v>-25.116475001970926</v>
      </c>
      <c r="M80" s="5">
        <v>113.42296667098998</v>
      </c>
      <c r="N80" s="5">
        <v>-25.128150002161661</v>
      </c>
      <c r="O80" s="5">
        <v>113.42829999923705</v>
      </c>
      <c r="R80" s="6">
        <v>19</v>
      </c>
      <c r="S80" s="7">
        <v>30</v>
      </c>
    </row>
    <row r="81" spans="1:26" x14ac:dyDescent="0.25">
      <c r="A81" t="s">
        <v>329</v>
      </c>
      <c r="B81" t="s">
        <v>26</v>
      </c>
      <c r="C81" t="s">
        <v>94</v>
      </c>
      <c r="D81" s="4">
        <v>42815</v>
      </c>
      <c r="E81" t="s">
        <v>203</v>
      </c>
      <c r="F81" t="s">
        <v>240</v>
      </c>
      <c r="G81" t="s">
        <v>239</v>
      </c>
      <c r="J81" s="5">
        <v>-25.1322333335876</v>
      </c>
      <c r="K81" s="5">
        <v>113.460033321381</v>
      </c>
      <c r="L81" s="5">
        <v>-25.115533332029948</v>
      </c>
      <c r="M81" s="5">
        <v>113.454458332062</v>
      </c>
      <c r="N81" s="5">
        <v>-25.098833330472299</v>
      </c>
      <c r="O81" s="5">
        <v>113.448883342743</v>
      </c>
      <c r="R81" s="6">
        <v>17.100000381469702</v>
      </c>
      <c r="S81" s="7">
        <v>38</v>
      </c>
    </row>
    <row r="82" spans="1:26" x14ac:dyDescent="0.25">
      <c r="A82" t="s">
        <v>329</v>
      </c>
      <c r="B82" t="s">
        <v>26</v>
      </c>
      <c r="C82" t="s">
        <v>95</v>
      </c>
      <c r="D82" s="4">
        <v>42874</v>
      </c>
      <c r="E82" t="s">
        <v>203</v>
      </c>
      <c r="F82" t="s">
        <v>240</v>
      </c>
      <c r="G82" t="s">
        <v>239</v>
      </c>
      <c r="J82" s="5">
        <v>-25.3482833226522</v>
      </c>
      <c r="K82" s="5">
        <v>113.559166653951</v>
      </c>
      <c r="L82" s="5">
        <v>-25.332324997584053</v>
      </c>
      <c r="M82" s="5">
        <v>113.550299994151</v>
      </c>
      <c r="N82" s="5">
        <v>-25.316366672515901</v>
      </c>
      <c r="O82" s="5">
        <v>113.541433334351</v>
      </c>
      <c r="R82" s="6">
        <v>14.300000190734901</v>
      </c>
      <c r="S82" s="7">
        <v>30</v>
      </c>
    </row>
    <row r="83" spans="1:26" x14ac:dyDescent="0.25">
      <c r="A83" t="s">
        <v>329</v>
      </c>
      <c r="B83" t="s">
        <v>26</v>
      </c>
      <c r="C83" t="s">
        <v>96</v>
      </c>
      <c r="D83" s="4">
        <v>42874</v>
      </c>
      <c r="E83" t="s">
        <v>203</v>
      </c>
      <c r="F83" t="s">
        <v>240</v>
      </c>
      <c r="G83" t="s">
        <v>239</v>
      </c>
      <c r="J83" s="5">
        <v>-25.297366650899299</v>
      </c>
      <c r="K83" s="5">
        <v>113.656583340963</v>
      </c>
      <c r="L83" s="5">
        <v>-25.283224995931</v>
      </c>
      <c r="M83" s="5">
        <v>113.6503499984745</v>
      </c>
      <c r="N83" s="5">
        <v>-25.269083340962698</v>
      </c>
      <c r="O83" s="5">
        <v>113.644116655986</v>
      </c>
      <c r="R83" s="6">
        <v>11.199999809265099</v>
      </c>
      <c r="S83" s="7">
        <v>30</v>
      </c>
    </row>
    <row r="84" spans="1:26" x14ac:dyDescent="0.25">
      <c r="A84" t="s">
        <v>329</v>
      </c>
      <c r="B84" t="s">
        <v>26</v>
      </c>
      <c r="C84" t="s">
        <v>97</v>
      </c>
      <c r="D84" s="4">
        <v>42874</v>
      </c>
      <c r="E84" t="s">
        <v>203</v>
      </c>
      <c r="F84" t="s">
        <v>240</v>
      </c>
      <c r="G84" t="s">
        <v>239</v>
      </c>
      <c r="J84" s="5">
        <v>-25.2539999961853</v>
      </c>
      <c r="K84" s="5">
        <v>113.63031667073599</v>
      </c>
      <c r="L84" s="5">
        <v>-25.238308334350599</v>
      </c>
      <c r="M84" s="5">
        <v>113.622083346049</v>
      </c>
      <c r="N84" s="5">
        <v>-25.222616672515901</v>
      </c>
      <c r="O84" s="5">
        <v>113.613850021362</v>
      </c>
      <c r="R84" s="6">
        <v>11.8999996185303</v>
      </c>
      <c r="S84" s="7">
        <v>30</v>
      </c>
    </row>
    <row r="85" spans="1:26" x14ac:dyDescent="0.25">
      <c r="A85" t="s">
        <v>329</v>
      </c>
      <c r="B85" t="s">
        <v>26</v>
      </c>
      <c r="C85" t="s">
        <v>98</v>
      </c>
      <c r="D85" s="4">
        <v>42874</v>
      </c>
      <c r="E85" t="s">
        <v>203</v>
      </c>
      <c r="F85" t="s">
        <v>240</v>
      </c>
      <c r="G85" t="s">
        <v>239</v>
      </c>
      <c r="J85" s="5">
        <v>-25.2539999961853</v>
      </c>
      <c r="K85" s="5">
        <v>113.63031667073599</v>
      </c>
      <c r="L85" s="5">
        <v>-25.238308334350599</v>
      </c>
      <c r="M85" s="5">
        <v>113.622083346049</v>
      </c>
      <c r="N85" s="5">
        <v>-25.222616672515901</v>
      </c>
      <c r="O85" s="5">
        <v>113.613850021362</v>
      </c>
      <c r="R85" s="6">
        <v>11.8999996185303</v>
      </c>
      <c r="S85" s="7">
        <v>30</v>
      </c>
    </row>
    <row r="86" spans="1:26" x14ac:dyDescent="0.25">
      <c r="A86" t="s">
        <v>329</v>
      </c>
      <c r="B86" t="s">
        <v>26</v>
      </c>
      <c r="C86" t="s">
        <v>99</v>
      </c>
      <c r="D86" s="4">
        <v>42874</v>
      </c>
      <c r="E86" t="s">
        <v>203</v>
      </c>
      <c r="F86" t="s">
        <v>240</v>
      </c>
      <c r="G86" t="s">
        <v>239</v>
      </c>
      <c r="J86" s="5">
        <v>-25.138966671625798</v>
      </c>
      <c r="K86" s="5">
        <v>113.47454999287901</v>
      </c>
      <c r="L86" s="5">
        <v>-25.123350004355149</v>
      </c>
      <c r="M86" s="5">
        <v>113.4646999994915</v>
      </c>
      <c r="N86" s="5">
        <v>-25.1077333370845</v>
      </c>
      <c r="O86" s="5">
        <v>113.454850006104</v>
      </c>
      <c r="R86" s="6">
        <v>17.600000381469702</v>
      </c>
      <c r="S86" s="7">
        <v>30</v>
      </c>
    </row>
    <row r="87" spans="1:26" x14ac:dyDescent="0.25">
      <c r="A87" t="s">
        <v>329</v>
      </c>
      <c r="B87" t="s">
        <v>26</v>
      </c>
      <c r="C87" t="s">
        <v>100</v>
      </c>
      <c r="D87" s="4">
        <v>43022</v>
      </c>
      <c r="E87" t="s">
        <v>203</v>
      </c>
      <c r="F87" t="s">
        <v>240</v>
      </c>
      <c r="G87" t="s">
        <v>230</v>
      </c>
      <c r="L87" s="5">
        <v>-19.709453</v>
      </c>
      <c r="M87" s="5">
        <v>117.83055450000001</v>
      </c>
      <c r="R87" s="6">
        <v>60</v>
      </c>
      <c r="Z87" t="s">
        <v>242</v>
      </c>
    </row>
    <row r="88" spans="1:26" x14ac:dyDescent="0.25">
      <c r="A88" t="s">
        <v>329</v>
      </c>
      <c r="B88" t="s">
        <v>26</v>
      </c>
      <c r="C88" t="s">
        <v>101</v>
      </c>
      <c r="D88" s="4">
        <v>43026</v>
      </c>
      <c r="E88" t="s">
        <v>203</v>
      </c>
      <c r="F88" t="s">
        <v>240</v>
      </c>
      <c r="G88" t="s">
        <v>230</v>
      </c>
      <c r="L88" s="5">
        <v>-20.157876999999999</v>
      </c>
      <c r="M88" s="5">
        <v>117.9239895</v>
      </c>
      <c r="R88" s="6">
        <v>33</v>
      </c>
      <c r="Z88" t="s">
        <v>243</v>
      </c>
    </row>
    <row r="89" spans="1:26" x14ac:dyDescent="0.25">
      <c r="A89" t="s">
        <v>329</v>
      </c>
      <c r="B89" t="s">
        <v>26</v>
      </c>
      <c r="C89" t="s">
        <v>102</v>
      </c>
      <c r="D89" s="4">
        <v>43026</v>
      </c>
      <c r="E89" t="s">
        <v>203</v>
      </c>
      <c r="F89" t="s">
        <v>240</v>
      </c>
      <c r="G89" t="s">
        <v>230</v>
      </c>
      <c r="L89" s="5">
        <v>-20.047490499999999</v>
      </c>
      <c r="M89" s="5">
        <v>117.444394</v>
      </c>
      <c r="R89" s="6">
        <v>49.5</v>
      </c>
      <c r="Z89" t="s">
        <v>244</v>
      </c>
    </row>
    <row r="90" spans="1:26" x14ac:dyDescent="0.25">
      <c r="A90" t="s">
        <v>329</v>
      </c>
      <c r="B90" t="s">
        <v>26</v>
      </c>
      <c r="C90" t="s">
        <v>103</v>
      </c>
      <c r="D90" s="4">
        <v>43046</v>
      </c>
      <c r="E90" t="s">
        <v>203</v>
      </c>
      <c r="F90" t="s">
        <v>240</v>
      </c>
      <c r="G90" t="s">
        <v>239</v>
      </c>
      <c r="J90" s="5">
        <v>-24.940666666666701</v>
      </c>
      <c r="K90" s="5">
        <v>113.29663333333301</v>
      </c>
      <c r="L90" s="5">
        <v>-24.931983333333349</v>
      </c>
      <c r="M90" s="5">
        <v>113.298708333333</v>
      </c>
      <c r="N90" s="5">
        <v>-24.923300000000001</v>
      </c>
      <c r="O90" s="5">
        <v>113.300783333333</v>
      </c>
      <c r="R90" s="6">
        <v>22.8</v>
      </c>
      <c r="S90" s="7">
        <v>20</v>
      </c>
    </row>
    <row r="91" spans="1:26" x14ac:dyDescent="0.25">
      <c r="A91" t="s">
        <v>329</v>
      </c>
      <c r="B91" t="s">
        <v>26</v>
      </c>
      <c r="C91" t="s">
        <v>104</v>
      </c>
      <c r="D91" s="4">
        <v>43047</v>
      </c>
      <c r="E91" t="s">
        <v>203</v>
      </c>
      <c r="F91" t="s">
        <v>240</v>
      </c>
      <c r="G91" t="s">
        <v>239</v>
      </c>
      <c r="J91" s="5">
        <v>-24.914100000000001</v>
      </c>
      <c r="K91" s="5">
        <v>113.202733333333</v>
      </c>
      <c r="L91" s="5">
        <v>-24.922474999999999</v>
      </c>
      <c r="M91" s="5">
        <v>113.198533333333</v>
      </c>
      <c r="N91" s="5">
        <v>-24.93085</v>
      </c>
      <c r="O91" s="5">
        <v>113.19433333333301</v>
      </c>
      <c r="R91" s="6">
        <v>19.5</v>
      </c>
      <c r="S91" s="7">
        <v>20</v>
      </c>
    </row>
    <row r="92" spans="1:26" x14ac:dyDescent="0.25">
      <c r="A92" t="s">
        <v>329</v>
      </c>
      <c r="B92" t="s">
        <v>26</v>
      </c>
      <c r="C92" t="s">
        <v>105</v>
      </c>
      <c r="D92" s="4">
        <v>43047</v>
      </c>
      <c r="E92" t="s">
        <v>203</v>
      </c>
      <c r="F92" t="s">
        <v>240</v>
      </c>
      <c r="G92" t="s">
        <v>239</v>
      </c>
      <c r="J92" s="5">
        <v>-25.058700000000002</v>
      </c>
      <c r="K92" s="5">
        <v>113.338083333333</v>
      </c>
      <c r="L92" s="5">
        <v>-25.066558333333351</v>
      </c>
      <c r="M92" s="5">
        <v>113.34325833333301</v>
      </c>
      <c r="N92" s="5">
        <v>-25.0744166666667</v>
      </c>
      <c r="O92" s="5">
        <v>113.34843333333301</v>
      </c>
      <c r="R92" s="6">
        <v>24.4</v>
      </c>
      <c r="S92" s="7">
        <v>20</v>
      </c>
    </row>
    <row r="93" spans="1:26" x14ac:dyDescent="0.25">
      <c r="A93" t="s">
        <v>329</v>
      </c>
      <c r="B93" t="s">
        <v>26</v>
      </c>
      <c r="C93" t="s">
        <v>106</v>
      </c>
      <c r="D93" s="4">
        <v>43047</v>
      </c>
      <c r="E93" t="s">
        <v>203</v>
      </c>
      <c r="F93" t="s">
        <v>240</v>
      </c>
      <c r="G93" t="s">
        <v>239</v>
      </c>
      <c r="J93" s="5">
        <v>-25.058700000000002</v>
      </c>
      <c r="K93" s="5">
        <v>113.338083333333</v>
      </c>
      <c r="L93" s="5">
        <v>-25.066558333333351</v>
      </c>
      <c r="M93" s="5">
        <v>113.34325833333301</v>
      </c>
      <c r="N93" s="5">
        <v>-25.0744166666667</v>
      </c>
      <c r="O93" s="5">
        <v>113.34843333333301</v>
      </c>
      <c r="R93" s="6">
        <v>24.4</v>
      </c>
      <c r="S93" s="7">
        <v>20</v>
      </c>
    </row>
    <row r="94" spans="1:26" x14ac:dyDescent="0.25">
      <c r="A94" t="s">
        <v>329</v>
      </c>
      <c r="B94" t="s">
        <v>26</v>
      </c>
      <c r="C94" t="s">
        <v>107</v>
      </c>
      <c r="D94" s="4">
        <v>43049</v>
      </c>
      <c r="E94" t="s">
        <v>203</v>
      </c>
      <c r="F94" t="s">
        <v>240</v>
      </c>
      <c r="G94" t="s">
        <v>239</v>
      </c>
      <c r="J94" s="5">
        <v>-25.245166666666702</v>
      </c>
      <c r="K94" s="5">
        <v>113.60850000000001</v>
      </c>
      <c r="L94" s="5">
        <v>-25.236508333333351</v>
      </c>
      <c r="M94" s="5">
        <v>113.610525</v>
      </c>
      <c r="N94" s="5">
        <v>-25.22785</v>
      </c>
      <c r="O94" s="5">
        <v>113.61255</v>
      </c>
      <c r="R94" s="6">
        <v>14.7</v>
      </c>
      <c r="S94" s="7">
        <v>20</v>
      </c>
    </row>
    <row r="95" spans="1:26" x14ac:dyDescent="0.25">
      <c r="A95" t="s">
        <v>329</v>
      </c>
      <c r="B95" t="s">
        <v>26</v>
      </c>
      <c r="C95" t="s">
        <v>108</v>
      </c>
      <c r="D95" s="4">
        <v>43054</v>
      </c>
      <c r="E95" t="s">
        <v>203</v>
      </c>
      <c r="F95" t="s">
        <v>240</v>
      </c>
      <c r="G95" t="s">
        <v>239</v>
      </c>
      <c r="J95" s="5">
        <v>-25.380483333333299</v>
      </c>
      <c r="K95" s="5">
        <v>113.420583333333</v>
      </c>
      <c r="L95" s="5">
        <v>-25.3896083333333</v>
      </c>
      <c r="M95" s="5">
        <v>113.416433333333</v>
      </c>
      <c r="N95" s="5">
        <v>-25.398733333333301</v>
      </c>
      <c r="O95" s="5">
        <v>113.41228333333299</v>
      </c>
      <c r="R95" s="6">
        <v>16.5</v>
      </c>
      <c r="S95" s="7">
        <v>20</v>
      </c>
    </row>
    <row r="96" spans="1:26" x14ac:dyDescent="0.25">
      <c r="A96" t="s">
        <v>329</v>
      </c>
      <c r="B96" t="s">
        <v>26</v>
      </c>
      <c r="C96" t="s">
        <v>109</v>
      </c>
      <c r="D96" s="4">
        <v>43055</v>
      </c>
      <c r="E96" t="s">
        <v>203</v>
      </c>
      <c r="F96" t="s">
        <v>240</v>
      </c>
      <c r="G96" t="s">
        <v>239</v>
      </c>
      <c r="J96" s="5">
        <v>-25.210433333333299</v>
      </c>
      <c r="K96" s="5">
        <v>113.4418</v>
      </c>
      <c r="L96" s="5">
        <v>-25.201983333333299</v>
      </c>
      <c r="M96" s="5">
        <v>113.4403416666665</v>
      </c>
      <c r="N96" s="5">
        <v>-25.193533333333299</v>
      </c>
      <c r="O96" s="5">
        <v>113.438883333333</v>
      </c>
      <c r="R96" s="6">
        <v>18.2</v>
      </c>
      <c r="S96" s="7">
        <v>20</v>
      </c>
    </row>
    <row r="97" spans="1:19" x14ac:dyDescent="0.25">
      <c r="A97" t="s">
        <v>329</v>
      </c>
      <c r="B97" t="s">
        <v>26</v>
      </c>
      <c r="C97" t="s">
        <v>110</v>
      </c>
      <c r="D97" s="4">
        <v>43055</v>
      </c>
      <c r="E97" t="s">
        <v>203</v>
      </c>
      <c r="F97" t="s">
        <v>240</v>
      </c>
      <c r="G97" t="s">
        <v>239</v>
      </c>
      <c r="J97" s="5">
        <v>-25.149249999999999</v>
      </c>
      <c r="K97" s="5">
        <v>113.391033333333</v>
      </c>
      <c r="L97" s="5">
        <v>-25.157699999999998</v>
      </c>
      <c r="M97" s="5">
        <v>113.39366666666649</v>
      </c>
      <c r="N97" s="5">
        <v>-25.166149999999998</v>
      </c>
      <c r="O97" s="5">
        <v>113.3963</v>
      </c>
      <c r="R97" s="6">
        <v>21</v>
      </c>
      <c r="S97" s="7">
        <v>20</v>
      </c>
    </row>
    <row r="98" spans="1:19" x14ac:dyDescent="0.25">
      <c r="A98" t="s">
        <v>329</v>
      </c>
      <c r="B98" t="s">
        <v>26</v>
      </c>
      <c r="C98" t="s">
        <v>111</v>
      </c>
      <c r="D98" s="4">
        <v>43169</v>
      </c>
      <c r="E98" t="s">
        <v>203</v>
      </c>
      <c r="F98" t="s">
        <v>240</v>
      </c>
      <c r="G98" t="s">
        <v>239</v>
      </c>
      <c r="J98" s="5">
        <v>-25.108966666666699</v>
      </c>
      <c r="K98" s="5">
        <v>113.429516666667</v>
      </c>
      <c r="L98" s="5">
        <v>-25.117933333333347</v>
      </c>
      <c r="M98" s="5">
        <v>113.42785833333349</v>
      </c>
      <c r="N98" s="5">
        <v>-25.126899999999999</v>
      </c>
      <c r="O98" s="5">
        <v>113.42619999999999</v>
      </c>
      <c r="R98" s="6">
        <v>18</v>
      </c>
      <c r="S98" s="7">
        <v>20</v>
      </c>
    </row>
    <row r="99" spans="1:19" x14ac:dyDescent="0.25">
      <c r="A99" t="s">
        <v>329</v>
      </c>
      <c r="B99" t="s">
        <v>26</v>
      </c>
      <c r="C99" t="s">
        <v>112</v>
      </c>
      <c r="D99" s="4">
        <v>43170</v>
      </c>
      <c r="E99" t="s">
        <v>203</v>
      </c>
      <c r="F99" t="s">
        <v>240</v>
      </c>
      <c r="G99" t="s">
        <v>239</v>
      </c>
      <c r="J99" s="5">
        <v>-25.1985666666667</v>
      </c>
      <c r="K99" s="5">
        <v>113.574233333333</v>
      </c>
      <c r="L99" s="5">
        <v>-25.189258333333349</v>
      </c>
      <c r="M99" s="5">
        <v>113.5744416666665</v>
      </c>
      <c r="N99" s="5">
        <v>-25.179950000000002</v>
      </c>
      <c r="O99" s="5">
        <v>113.57465000000001</v>
      </c>
      <c r="R99" s="6">
        <v>15</v>
      </c>
      <c r="S99" s="7">
        <v>20</v>
      </c>
    </row>
    <row r="100" spans="1:19" x14ac:dyDescent="0.25">
      <c r="A100" t="s">
        <v>329</v>
      </c>
      <c r="B100" t="s">
        <v>26</v>
      </c>
      <c r="C100" t="s">
        <v>113</v>
      </c>
      <c r="D100" s="4">
        <v>43170</v>
      </c>
      <c r="E100" t="s">
        <v>203</v>
      </c>
      <c r="F100" t="s">
        <v>240</v>
      </c>
      <c r="G100" t="s">
        <v>239</v>
      </c>
      <c r="J100" s="5">
        <v>-25.158349999999999</v>
      </c>
      <c r="K100" s="5">
        <v>113.581066666667</v>
      </c>
      <c r="L100" s="5">
        <v>-25.164549999999998</v>
      </c>
      <c r="M100" s="5">
        <v>113.588016666667</v>
      </c>
      <c r="N100" s="5">
        <v>-25.170750000000002</v>
      </c>
      <c r="O100" s="5">
        <v>113.59496666666701</v>
      </c>
      <c r="R100" s="6">
        <v>13.2</v>
      </c>
      <c r="S100" s="7">
        <v>20</v>
      </c>
    </row>
    <row r="101" spans="1:19" x14ac:dyDescent="0.25">
      <c r="A101" t="s">
        <v>329</v>
      </c>
      <c r="B101" t="s">
        <v>26</v>
      </c>
      <c r="C101" t="s">
        <v>114</v>
      </c>
      <c r="D101" s="4">
        <v>43170</v>
      </c>
      <c r="E101" t="s">
        <v>203</v>
      </c>
      <c r="F101" t="s">
        <v>240</v>
      </c>
      <c r="G101" t="s">
        <v>239</v>
      </c>
      <c r="J101" s="5">
        <v>-25.279699999999998</v>
      </c>
      <c r="K101" s="5">
        <v>113.65519999999999</v>
      </c>
      <c r="L101" s="5">
        <v>-25.28941666666665</v>
      </c>
      <c r="M101" s="5">
        <v>113.65549999999999</v>
      </c>
      <c r="N101" s="5">
        <v>-25.299133333333302</v>
      </c>
      <c r="O101" s="5">
        <v>113.6558</v>
      </c>
      <c r="R101" s="6">
        <v>11.5</v>
      </c>
      <c r="S101" s="7">
        <v>20</v>
      </c>
    </row>
    <row r="102" spans="1:19" x14ac:dyDescent="0.25">
      <c r="A102" t="s">
        <v>329</v>
      </c>
      <c r="B102" t="s">
        <v>26</v>
      </c>
      <c r="C102" t="s">
        <v>115</v>
      </c>
      <c r="D102" s="4">
        <v>43172</v>
      </c>
      <c r="E102" t="s">
        <v>203</v>
      </c>
      <c r="F102" t="s">
        <v>240</v>
      </c>
      <c r="G102" t="s">
        <v>239</v>
      </c>
      <c r="J102" s="5">
        <v>-25.680250000000001</v>
      </c>
      <c r="K102" s="5">
        <v>113.64579999999999</v>
      </c>
      <c r="L102" s="5">
        <v>-25.67211666666665</v>
      </c>
      <c r="M102" s="5">
        <v>113.6414583333335</v>
      </c>
      <c r="N102" s="5">
        <v>-25.663983333333299</v>
      </c>
      <c r="O102" s="5">
        <v>113.637116666667</v>
      </c>
      <c r="R102" s="6">
        <v>11.5</v>
      </c>
      <c r="S102" s="7">
        <v>20</v>
      </c>
    </row>
    <row r="103" spans="1:19" x14ac:dyDescent="0.25">
      <c r="A103" t="s">
        <v>329</v>
      </c>
      <c r="B103" t="s">
        <v>26</v>
      </c>
      <c r="C103" t="s">
        <v>116</v>
      </c>
      <c r="D103" s="4">
        <v>43173</v>
      </c>
      <c r="E103" t="s">
        <v>203</v>
      </c>
      <c r="F103" t="s">
        <v>240</v>
      </c>
      <c r="G103" t="s">
        <v>239</v>
      </c>
      <c r="J103" s="5">
        <v>-25.232033333333298</v>
      </c>
      <c r="K103" s="5">
        <v>113.44815</v>
      </c>
      <c r="L103" s="5">
        <v>-25.240774999999999</v>
      </c>
      <c r="M103" s="5">
        <v>113.4501166666665</v>
      </c>
      <c r="N103" s="5">
        <v>-25.2495166666667</v>
      </c>
      <c r="O103" s="5">
        <v>113.45208333333299</v>
      </c>
      <c r="R103" s="6">
        <v>16</v>
      </c>
      <c r="S103" s="7">
        <v>20</v>
      </c>
    </row>
    <row r="104" spans="1:19" x14ac:dyDescent="0.25">
      <c r="A104" t="s">
        <v>329</v>
      </c>
      <c r="B104" t="s">
        <v>26</v>
      </c>
      <c r="C104" t="s">
        <v>117</v>
      </c>
      <c r="D104" s="4">
        <v>43174</v>
      </c>
      <c r="E104" t="s">
        <v>203</v>
      </c>
      <c r="F104" t="s">
        <v>240</v>
      </c>
      <c r="G104" t="s">
        <v>239</v>
      </c>
      <c r="J104" s="5">
        <v>-25.679366666666699</v>
      </c>
      <c r="K104" s="5">
        <v>113.257116666667</v>
      </c>
      <c r="L104" s="5">
        <v>-25.669975000000001</v>
      </c>
      <c r="M104" s="5">
        <v>113.257175</v>
      </c>
      <c r="N104" s="5">
        <v>-25.6605833333333</v>
      </c>
      <c r="O104" s="5">
        <v>113.25723333333301</v>
      </c>
      <c r="R104" s="6">
        <v>15.6</v>
      </c>
      <c r="S104" s="7">
        <v>20</v>
      </c>
    </row>
    <row r="105" spans="1:19" x14ac:dyDescent="0.25">
      <c r="A105" t="s">
        <v>329</v>
      </c>
      <c r="B105" t="s">
        <v>26</v>
      </c>
      <c r="C105" t="s">
        <v>118</v>
      </c>
      <c r="D105" s="4">
        <v>43174</v>
      </c>
      <c r="E105" t="s">
        <v>203</v>
      </c>
      <c r="F105" t="s">
        <v>240</v>
      </c>
      <c r="G105" t="s">
        <v>239</v>
      </c>
      <c r="J105" s="5">
        <v>-25.676033333333301</v>
      </c>
      <c r="K105" s="5">
        <v>113.237383333333</v>
      </c>
      <c r="L105" s="5">
        <v>-25.684891666666651</v>
      </c>
      <c r="M105" s="5">
        <v>113.238783333333</v>
      </c>
      <c r="N105" s="5">
        <v>-25.693750000000001</v>
      </c>
      <c r="O105" s="5">
        <v>113.24018333333299</v>
      </c>
      <c r="R105" s="6">
        <v>16.100000000000001</v>
      </c>
      <c r="S105" s="7">
        <v>20</v>
      </c>
    </row>
    <row r="106" spans="1:19" x14ac:dyDescent="0.25">
      <c r="A106" t="s">
        <v>329</v>
      </c>
      <c r="B106" t="s">
        <v>26</v>
      </c>
      <c r="C106" t="s">
        <v>119</v>
      </c>
      <c r="D106" s="4">
        <v>43174</v>
      </c>
      <c r="E106" t="s">
        <v>203</v>
      </c>
      <c r="F106" t="s">
        <v>240</v>
      </c>
      <c r="G106" t="s">
        <v>239</v>
      </c>
      <c r="J106" s="5">
        <v>-25.676033333333301</v>
      </c>
      <c r="K106" s="5">
        <v>113.237383333333</v>
      </c>
      <c r="L106" s="5">
        <v>-25.684891666666651</v>
      </c>
      <c r="M106" s="5">
        <v>113.238783333333</v>
      </c>
      <c r="N106" s="5">
        <v>-25.693750000000001</v>
      </c>
      <c r="O106" s="5">
        <v>113.24018333333299</v>
      </c>
      <c r="R106" s="6">
        <v>16.100000000000001</v>
      </c>
      <c r="S106" s="7">
        <v>20</v>
      </c>
    </row>
    <row r="107" spans="1:19" x14ac:dyDescent="0.25">
      <c r="A107" t="s">
        <v>329</v>
      </c>
      <c r="B107" t="s">
        <v>26</v>
      </c>
      <c r="C107" t="s">
        <v>120</v>
      </c>
      <c r="D107" s="4">
        <v>43175</v>
      </c>
      <c r="E107" t="s">
        <v>203</v>
      </c>
      <c r="F107" t="s">
        <v>240</v>
      </c>
      <c r="G107" t="s">
        <v>239</v>
      </c>
      <c r="J107" s="5">
        <v>-25.61045</v>
      </c>
      <c r="K107" s="5">
        <v>113.211116666667</v>
      </c>
      <c r="L107" s="5">
        <v>-25.601399999999998</v>
      </c>
      <c r="M107" s="5">
        <v>113.211125</v>
      </c>
      <c r="N107" s="5">
        <v>-25.59235</v>
      </c>
      <c r="O107" s="5">
        <v>113.211133333333</v>
      </c>
      <c r="R107" s="6">
        <v>16.8</v>
      </c>
      <c r="S107" s="7">
        <v>20</v>
      </c>
    </row>
    <row r="108" spans="1:19" x14ac:dyDescent="0.25">
      <c r="A108" t="s">
        <v>329</v>
      </c>
      <c r="B108" t="s">
        <v>26</v>
      </c>
      <c r="C108" t="s">
        <v>121</v>
      </c>
      <c r="D108" s="4">
        <v>43177</v>
      </c>
      <c r="E108" t="s">
        <v>203</v>
      </c>
      <c r="F108" t="s">
        <v>240</v>
      </c>
      <c r="G108" t="s">
        <v>239</v>
      </c>
      <c r="J108" s="5">
        <v>-24.882666666666701</v>
      </c>
      <c r="K108" s="5">
        <v>113.26909999999999</v>
      </c>
      <c r="L108" s="5">
        <v>-24.873925</v>
      </c>
      <c r="M108" s="5">
        <v>113.27289999999999</v>
      </c>
      <c r="N108" s="5">
        <v>-24.865183333333299</v>
      </c>
      <c r="O108" s="5">
        <v>113.27670000000001</v>
      </c>
      <c r="R108" s="6">
        <v>20.3</v>
      </c>
      <c r="S108" s="7">
        <v>20</v>
      </c>
    </row>
    <row r="109" spans="1:19" x14ac:dyDescent="0.25">
      <c r="A109" t="s">
        <v>329</v>
      </c>
      <c r="B109" t="s">
        <v>26</v>
      </c>
      <c r="C109" t="s">
        <v>122</v>
      </c>
      <c r="D109" s="4">
        <v>43227</v>
      </c>
      <c r="E109" t="s">
        <v>203</v>
      </c>
      <c r="F109" t="s">
        <v>240</v>
      </c>
      <c r="G109" t="s">
        <v>239</v>
      </c>
      <c r="J109" s="5">
        <v>-25.148550001780201</v>
      </c>
      <c r="K109" s="5">
        <v>113.436466662089</v>
      </c>
      <c r="L109" s="5">
        <v>-25.164566667874652</v>
      </c>
      <c r="M109" s="5">
        <v>113.43686666488651</v>
      </c>
      <c r="N109" s="5">
        <v>-25.1805833339691</v>
      </c>
      <c r="O109" s="5">
        <v>113.437266667684</v>
      </c>
      <c r="R109" s="6">
        <v>17</v>
      </c>
      <c r="S109" s="7">
        <v>30</v>
      </c>
    </row>
    <row r="110" spans="1:19" x14ac:dyDescent="0.25">
      <c r="A110" t="s">
        <v>329</v>
      </c>
      <c r="B110" t="s">
        <v>26</v>
      </c>
      <c r="C110" t="s">
        <v>123</v>
      </c>
      <c r="D110" s="4">
        <v>43227</v>
      </c>
      <c r="E110" t="s">
        <v>203</v>
      </c>
      <c r="F110" t="s">
        <v>240</v>
      </c>
      <c r="G110" t="s">
        <v>239</v>
      </c>
      <c r="J110" s="5">
        <v>-25.202433331807502</v>
      </c>
      <c r="K110" s="5">
        <v>113.452300008138</v>
      </c>
      <c r="L110" s="5">
        <v>-25.21734166940055</v>
      </c>
      <c r="M110" s="5">
        <v>113.45260000228899</v>
      </c>
      <c r="N110" s="5">
        <v>-25.232250006993599</v>
      </c>
      <c r="O110" s="5">
        <v>113.45289999644</v>
      </c>
      <c r="R110" s="6">
        <v>16</v>
      </c>
      <c r="S110" s="7">
        <v>30</v>
      </c>
    </row>
    <row r="111" spans="1:19" x14ac:dyDescent="0.25">
      <c r="A111" t="s">
        <v>329</v>
      </c>
      <c r="B111" t="s">
        <v>26</v>
      </c>
      <c r="C111" t="s">
        <v>124</v>
      </c>
      <c r="D111" s="4">
        <v>43261</v>
      </c>
      <c r="E111" t="s">
        <v>203</v>
      </c>
      <c r="F111" t="s">
        <v>240</v>
      </c>
      <c r="G111" t="s">
        <v>239</v>
      </c>
      <c r="J111" s="5">
        <v>-25.704616666666698</v>
      </c>
      <c r="K111" s="5">
        <v>113.244116666667</v>
      </c>
      <c r="L111" s="5">
        <v>-25.695349999999998</v>
      </c>
      <c r="M111" s="5">
        <v>113.24154999999999</v>
      </c>
      <c r="N111" s="5">
        <v>-25.686083333333301</v>
      </c>
      <c r="O111" s="5">
        <v>113.238983333333</v>
      </c>
      <c r="R111" s="6">
        <v>16.399999999999999</v>
      </c>
      <c r="S111" s="7">
        <v>20</v>
      </c>
    </row>
    <row r="112" spans="1:19" x14ac:dyDescent="0.25">
      <c r="A112" t="s">
        <v>329</v>
      </c>
      <c r="B112" t="s">
        <v>26</v>
      </c>
      <c r="C112" t="s">
        <v>125</v>
      </c>
      <c r="D112" s="4">
        <v>43261</v>
      </c>
      <c r="E112" t="s">
        <v>203</v>
      </c>
      <c r="F112" t="s">
        <v>240</v>
      </c>
      <c r="G112" t="s">
        <v>239</v>
      </c>
      <c r="J112" s="5">
        <v>-25.561250000000001</v>
      </c>
      <c r="K112" s="5">
        <v>113.21793333333299</v>
      </c>
      <c r="L112" s="5">
        <v>-25.57014166666665</v>
      </c>
      <c r="M112" s="5">
        <v>113.2207166666665</v>
      </c>
      <c r="N112" s="5">
        <v>-25.5790333333333</v>
      </c>
      <c r="O112" s="5">
        <v>113.2235</v>
      </c>
      <c r="R112" s="6">
        <v>17.7</v>
      </c>
      <c r="S112" s="7">
        <v>20</v>
      </c>
    </row>
    <row r="113" spans="1:19" x14ac:dyDescent="0.25">
      <c r="A113" t="s">
        <v>329</v>
      </c>
      <c r="B113" t="s">
        <v>26</v>
      </c>
      <c r="C113" t="s">
        <v>126</v>
      </c>
      <c r="D113" s="4">
        <v>43262</v>
      </c>
      <c r="E113" t="s">
        <v>203</v>
      </c>
      <c r="F113" t="s">
        <v>240</v>
      </c>
      <c r="G113" t="s">
        <v>239</v>
      </c>
      <c r="J113" s="5">
        <v>-24.9829166666667</v>
      </c>
      <c r="K113" s="5">
        <v>113.28716666666701</v>
      </c>
      <c r="L113" s="5">
        <v>-24.973974999999999</v>
      </c>
      <c r="M113" s="5">
        <v>113.284566666667</v>
      </c>
      <c r="N113" s="5">
        <v>-24.965033333333299</v>
      </c>
      <c r="O113" s="5">
        <v>113.281966666667</v>
      </c>
      <c r="R113" s="6">
        <v>19.100000000000001</v>
      </c>
      <c r="S113" s="7">
        <v>20</v>
      </c>
    </row>
    <row r="114" spans="1:19" x14ac:dyDescent="0.25">
      <c r="A114" t="s">
        <v>329</v>
      </c>
      <c r="B114" t="s">
        <v>26</v>
      </c>
      <c r="C114" t="s">
        <v>127</v>
      </c>
      <c r="D114" s="4">
        <v>43408</v>
      </c>
      <c r="E114" t="s">
        <v>203</v>
      </c>
      <c r="F114" t="s">
        <v>240</v>
      </c>
      <c r="G114" t="s">
        <v>239</v>
      </c>
      <c r="J114" s="5">
        <v>-25.259</v>
      </c>
      <c r="K114" s="5">
        <v>113.65470000000001</v>
      </c>
      <c r="L114" s="5">
        <v>-25.249949999999998</v>
      </c>
      <c r="M114" s="5">
        <v>113.65123333333349</v>
      </c>
      <c r="N114" s="5">
        <v>-25.2409</v>
      </c>
      <c r="O114" s="5">
        <v>113.647766666667</v>
      </c>
      <c r="R114" s="6">
        <v>13.2</v>
      </c>
      <c r="S114" s="7">
        <v>20</v>
      </c>
    </row>
    <row r="115" spans="1:19" x14ac:dyDescent="0.25">
      <c r="A115" t="s">
        <v>329</v>
      </c>
      <c r="B115" t="s">
        <v>26</v>
      </c>
      <c r="C115" t="s">
        <v>128</v>
      </c>
      <c r="D115" s="4">
        <v>43414</v>
      </c>
      <c r="E115" t="s">
        <v>203</v>
      </c>
      <c r="F115" t="s">
        <v>240</v>
      </c>
      <c r="G115" t="s">
        <v>239</v>
      </c>
      <c r="J115" s="5">
        <v>-24.938916666666699</v>
      </c>
      <c r="K115" s="5">
        <v>113.30065</v>
      </c>
      <c r="L115" s="5">
        <v>-24.9289916666667</v>
      </c>
      <c r="M115" s="5">
        <v>113.2989916666665</v>
      </c>
      <c r="N115" s="5">
        <v>-24.919066666666701</v>
      </c>
      <c r="O115" s="5">
        <v>113.297333333333</v>
      </c>
      <c r="R115" s="6">
        <v>22.1</v>
      </c>
      <c r="S115" s="7">
        <v>20</v>
      </c>
    </row>
    <row r="116" spans="1:19" x14ac:dyDescent="0.25">
      <c r="A116" t="s">
        <v>329</v>
      </c>
      <c r="B116" t="s">
        <v>26</v>
      </c>
      <c r="C116" t="s">
        <v>129</v>
      </c>
      <c r="D116" s="4">
        <v>43521</v>
      </c>
      <c r="E116" t="s">
        <v>203</v>
      </c>
      <c r="F116" t="s">
        <v>240</v>
      </c>
      <c r="G116" t="s">
        <v>239</v>
      </c>
      <c r="J116" s="5">
        <v>-25.0079666666667</v>
      </c>
      <c r="K116" s="5">
        <v>113.38275</v>
      </c>
      <c r="L116" s="5">
        <v>-25.016500000000001</v>
      </c>
      <c r="M116" s="5">
        <v>113.3856833333335</v>
      </c>
      <c r="N116" s="5">
        <v>-25.025033333333301</v>
      </c>
      <c r="O116" s="5">
        <v>113.38861666666701</v>
      </c>
      <c r="R116" s="6">
        <v>20.100000000000001</v>
      </c>
      <c r="S116" s="7">
        <v>20</v>
      </c>
    </row>
    <row r="117" spans="1:19" x14ac:dyDescent="0.25">
      <c r="A117" t="s">
        <v>329</v>
      </c>
      <c r="B117" t="s">
        <v>26</v>
      </c>
      <c r="C117" t="s">
        <v>130</v>
      </c>
      <c r="D117" s="4">
        <v>43522</v>
      </c>
      <c r="E117" t="s">
        <v>203</v>
      </c>
      <c r="F117" t="s">
        <v>240</v>
      </c>
      <c r="G117" t="s">
        <v>239</v>
      </c>
      <c r="J117" s="5">
        <v>-25.25685</v>
      </c>
      <c r="K117" s="5">
        <v>113.65389999999999</v>
      </c>
      <c r="L117" s="5">
        <v>-25.248016666666651</v>
      </c>
      <c r="M117" s="5">
        <v>113.64972499999999</v>
      </c>
      <c r="N117" s="5">
        <v>-25.239183333333301</v>
      </c>
      <c r="O117" s="5">
        <v>113.64555</v>
      </c>
      <c r="R117" s="6">
        <v>11.2</v>
      </c>
      <c r="S117" s="7">
        <v>20</v>
      </c>
    </row>
    <row r="118" spans="1:19" x14ac:dyDescent="0.25">
      <c r="A118" t="s">
        <v>329</v>
      </c>
      <c r="B118" t="s">
        <v>26</v>
      </c>
      <c r="C118" t="s">
        <v>131</v>
      </c>
      <c r="D118" s="4">
        <v>43522</v>
      </c>
      <c r="E118" t="s">
        <v>203</v>
      </c>
      <c r="F118" t="s">
        <v>240</v>
      </c>
      <c r="G118" t="s">
        <v>239</v>
      </c>
      <c r="J118" s="5">
        <v>-25.1755833333333</v>
      </c>
      <c r="K118" s="5">
        <v>113.58138333333299</v>
      </c>
      <c r="L118" s="5">
        <v>-25.183541666666649</v>
      </c>
      <c r="M118" s="5">
        <v>113.579558333333</v>
      </c>
      <c r="N118" s="5">
        <v>-25.191500000000001</v>
      </c>
      <c r="O118" s="5">
        <v>113.577733333333</v>
      </c>
      <c r="R118" s="6">
        <v>12.4</v>
      </c>
      <c r="S118" s="7">
        <v>20</v>
      </c>
    </row>
    <row r="119" spans="1:19" x14ac:dyDescent="0.25">
      <c r="A119" t="s">
        <v>329</v>
      </c>
      <c r="B119" t="s">
        <v>26</v>
      </c>
      <c r="C119" t="s">
        <v>132</v>
      </c>
      <c r="D119" s="4">
        <v>43524</v>
      </c>
      <c r="E119" t="s">
        <v>203</v>
      </c>
      <c r="F119" t="s">
        <v>240</v>
      </c>
      <c r="G119" t="s">
        <v>239</v>
      </c>
      <c r="J119" s="5">
        <v>-25.230633333333301</v>
      </c>
      <c r="K119" s="5">
        <v>113.4545</v>
      </c>
      <c r="L119" s="5">
        <v>-25.240349999999999</v>
      </c>
      <c r="M119" s="5">
        <v>113.4537</v>
      </c>
      <c r="N119" s="5">
        <v>-25.250066666666701</v>
      </c>
      <c r="O119" s="5">
        <v>113.4529</v>
      </c>
      <c r="R119" s="6">
        <v>15.4</v>
      </c>
      <c r="S119" s="7">
        <v>20</v>
      </c>
    </row>
    <row r="120" spans="1:19" x14ac:dyDescent="0.25">
      <c r="A120" t="s">
        <v>329</v>
      </c>
      <c r="B120" t="s">
        <v>26</v>
      </c>
      <c r="C120" t="s">
        <v>133</v>
      </c>
      <c r="D120" s="4">
        <v>43526</v>
      </c>
      <c r="E120" t="s">
        <v>203</v>
      </c>
      <c r="F120" t="s">
        <v>240</v>
      </c>
      <c r="G120" t="s">
        <v>239</v>
      </c>
      <c r="J120" s="5">
        <v>-24.9303666666667</v>
      </c>
      <c r="K120" s="5">
        <v>113.260366666667</v>
      </c>
      <c r="L120" s="5">
        <v>-24.920591666666702</v>
      </c>
      <c r="M120" s="5">
        <v>113.25964166666699</v>
      </c>
      <c r="N120" s="5">
        <v>-24.910816666666701</v>
      </c>
      <c r="O120" s="5">
        <v>113.25891666666701</v>
      </c>
      <c r="R120" s="6">
        <v>18.399999999999999</v>
      </c>
      <c r="S120" s="7">
        <v>20</v>
      </c>
    </row>
    <row r="121" spans="1:19" x14ac:dyDescent="0.25">
      <c r="A121" t="s">
        <v>329</v>
      </c>
      <c r="B121" t="s">
        <v>26</v>
      </c>
      <c r="C121" t="s">
        <v>134</v>
      </c>
      <c r="D121" s="4">
        <v>43528</v>
      </c>
      <c r="E121" t="s">
        <v>203</v>
      </c>
      <c r="F121" t="s">
        <v>240</v>
      </c>
      <c r="G121" t="s">
        <v>239</v>
      </c>
      <c r="J121" s="5">
        <v>-25.633150000000001</v>
      </c>
      <c r="K121" s="5">
        <v>113.24573333333301</v>
      </c>
      <c r="L121" s="5">
        <v>-25.64255</v>
      </c>
      <c r="M121" s="5">
        <v>113.243458333333</v>
      </c>
      <c r="N121" s="5">
        <v>-25.651949999999999</v>
      </c>
      <c r="O121" s="5">
        <v>113.241183333333</v>
      </c>
      <c r="R121" s="6">
        <v>16.100000000000001</v>
      </c>
      <c r="S121" s="7">
        <v>20</v>
      </c>
    </row>
    <row r="122" spans="1:19" x14ac:dyDescent="0.25">
      <c r="A122" t="s">
        <v>329</v>
      </c>
      <c r="B122" t="s">
        <v>26</v>
      </c>
      <c r="C122" t="s">
        <v>135</v>
      </c>
      <c r="D122" s="4">
        <v>43553</v>
      </c>
      <c r="E122" t="s">
        <v>203</v>
      </c>
      <c r="F122" t="s">
        <v>240</v>
      </c>
      <c r="G122" t="s">
        <v>239</v>
      </c>
      <c r="J122" s="5">
        <v>-25.254133335749302</v>
      </c>
      <c r="K122" s="5">
        <v>113.541116650899</v>
      </c>
      <c r="L122" s="5">
        <v>-25.267983333269751</v>
      </c>
      <c r="M122" s="5">
        <v>113.53969167073549</v>
      </c>
      <c r="N122" s="5">
        <v>-25.281833330790199</v>
      </c>
      <c r="O122" s="5">
        <v>113.538266690572</v>
      </c>
      <c r="R122" s="6">
        <v>14.4</v>
      </c>
      <c r="S122" s="7">
        <v>20</v>
      </c>
    </row>
    <row r="123" spans="1:19" x14ac:dyDescent="0.25">
      <c r="A123" t="s">
        <v>329</v>
      </c>
      <c r="B123" t="s">
        <v>26</v>
      </c>
      <c r="C123" t="s">
        <v>136</v>
      </c>
      <c r="D123" s="4">
        <v>43583</v>
      </c>
      <c r="E123" t="s">
        <v>203</v>
      </c>
      <c r="F123" t="s">
        <v>240</v>
      </c>
      <c r="G123" t="s">
        <v>239</v>
      </c>
      <c r="J123" s="5">
        <v>-25.234866666793799</v>
      </c>
      <c r="K123" s="5">
        <v>113.443450005849</v>
      </c>
      <c r="L123" s="5">
        <v>-25.221083331108098</v>
      </c>
      <c r="M123" s="5">
        <v>113.4399666627245</v>
      </c>
      <c r="N123" s="5">
        <v>-25.2072999954224</v>
      </c>
      <c r="O123" s="5">
        <v>113.4364833196</v>
      </c>
      <c r="R123" s="6">
        <v>15.8</v>
      </c>
      <c r="S123" s="7">
        <v>30</v>
      </c>
    </row>
    <row r="124" spans="1:19" x14ac:dyDescent="0.25">
      <c r="A124" t="s">
        <v>329</v>
      </c>
      <c r="B124" t="s">
        <v>26</v>
      </c>
      <c r="C124" t="s">
        <v>137</v>
      </c>
      <c r="D124" s="4">
        <v>43642</v>
      </c>
      <c r="E124" t="s">
        <v>203</v>
      </c>
      <c r="F124" t="s">
        <v>240</v>
      </c>
      <c r="G124" t="s">
        <v>239</v>
      </c>
      <c r="J124" s="5">
        <v>-25.194683333333298</v>
      </c>
      <c r="K124" s="5">
        <v>113.620366666667</v>
      </c>
      <c r="L124" s="5">
        <v>-25.201174999999999</v>
      </c>
      <c r="M124" s="5">
        <v>113.62718333333351</v>
      </c>
      <c r="N124" s="5">
        <v>-25.2076666666667</v>
      </c>
      <c r="O124" s="5">
        <v>113.634</v>
      </c>
      <c r="R124" s="6">
        <v>12</v>
      </c>
      <c r="S124" s="7">
        <v>20</v>
      </c>
    </row>
    <row r="125" spans="1:19" x14ac:dyDescent="0.25">
      <c r="A125" t="s">
        <v>329</v>
      </c>
      <c r="B125" t="s">
        <v>26</v>
      </c>
      <c r="C125" t="s">
        <v>138</v>
      </c>
      <c r="D125" s="4">
        <v>43645</v>
      </c>
      <c r="E125" t="s">
        <v>203</v>
      </c>
      <c r="F125" t="s">
        <v>240</v>
      </c>
      <c r="G125" t="s">
        <v>239</v>
      </c>
      <c r="J125" s="5">
        <v>-25.534466666666699</v>
      </c>
      <c r="K125" s="5">
        <v>113.035316666667</v>
      </c>
      <c r="L125" s="5">
        <v>-25.544174999999999</v>
      </c>
      <c r="M125" s="5">
        <v>113.0390083333335</v>
      </c>
      <c r="N125" s="5">
        <v>-25.5538833333333</v>
      </c>
      <c r="O125" s="5">
        <v>113.0427</v>
      </c>
      <c r="R125" s="6">
        <v>14.6</v>
      </c>
      <c r="S125" s="7">
        <v>20</v>
      </c>
    </row>
    <row r="126" spans="1:19" x14ac:dyDescent="0.25">
      <c r="A126" t="s">
        <v>329</v>
      </c>
      <c r="B126" t="s">
        <v>26</v>
      </c>
      <c r="C126" t="s">
        <v>139</v>
      </c>
      <c r="D126" s="4">
        <v>43645</v>
      </c>
      <c r="E126" t="s">
        <v>203</v>
      </c>
      <c r="F126" t="s">
        <v>240</v>
      </c>
      <c r="G126" t="s">
        <v>239</v>
      </c>
      <c r="J126" s="5">
        <v>-25.403016666666701</v>
      </c>
      <c r="K126" s="5">
        <v>113.38655</v>
      </c>
      <c r="L126" s="5">
        <v>-25.393975000000001</v>
      </c>
      <c r="M126" s="5">
        <v>113.384075</v>
      </c>
      <c r="N126" s="5">
        <v>-25.384933333333301</v>
      </c>
      <c r="O126" s="5">
        <v>113.38160000000001</v>
      </c>
      <c r="R126" s="6">
        <v>15.4</v>
      </c>
      <c r="S126" s="7">
        <v>20</v>
      </c>
    </row>
    <row r="127" spans="1:19" x14ac:dyDescent="0.25">
      <c r="A127" t="s">
        <v>329</v>
      </c>
      <c r="B127" t="s">
        <v>26</v>
      </c>
      <c r="C127" t="s">
        <v>140</v>
      </c>
      <c r="D127" s="4">
        <v>43645</v>
      </c>
      <c r="E127" t="s">
        <v>203</v>
      </c>
      <c r="F127" t="s">
        <v>240</v>
      </c>
      <c r="G127" t="s">
        <v>239</v>
      </c>
      <c r="J127" s="5">
        <v>-25.403016666666701</v>
      </c>
      <c r="K127" s="5">
        <v>113.38655</v>
      </c>
      <c r="L127" s="5">
        <v>-25.393975000000001</v>
      </c>
      <c r="M127" s="5">
        <v>113.384075</v>
      </c>
      <c r="N127" s="5">
        <v>-25.384933333333301</v>
      </c>
      <c r="O127" s="5">
        <v>113.38160000000001</v>
      </c>
      <c r="R127" s="6">
        <v>15.4</v>
      </c>
      <c r="S127" s="7">
        <v>20</v>
      </c>
    </row>
    <row r="128" spans="1:19" x14ac:dyDescent="0.25">
      <c r="A128" t="s">
        <v>329</v>
      </c>
      <c r="B128" t="s">
        <v>26</v>
      </c>
      <c r="C128" t="s">
        <v>141</v>
      </c>
      <c r="D128" s="4">
        <v>43646</v>
      </c>
      <c r="E128" t="s">
        <v>203</v>
      </c>
      <c r="F128" t="s">
        <v>240</v>
      </c>
      <c r="G128" t="s">
        <v>239</v>
      </c>
      <c r="J128" s="5">
        <v>-25.068366666666702</v>
      </c>
      <c r="K128" s="5">
        <v>113.287366666667</v>
      </c>
      <c r="L128" s="5">
        <v>-25.059291666666702</v>
      </c>
      <c r="M128" s="5">
        <v>113.28489999999999</v>
      </c>
      <c r="N128" s="5">
        <v>-25.050216666666699</v>
      </c>
      <c r="O128" s="5">
        <v>113.282433333333</v>
      </c>
      <c r="S128" s="7">
        <v>20</v>
      </c>
    </row>
    <row r="129" spans="1:19" x14ac:dyDescent="0.25">
      <c r="A129" t="s">
        <v>329</v>
      </c>
      <c r="B129" t="s">
        <v>26</v>
      </c>
      <c r="C129" t="s">
        <v>142</v>
      </c>
      <c r="D129" s="4">
        <v>43762</v>
      </c>
      <c r="E129" t="s">
        <v>203</v>
      </c>
      <c r="F129" t="s">
        <v>240</v>
      </c>
      <c r="G129" t="s">
        <v>205</v>
      </c>
      <c r="J129" s="5">
        <v>-21.8445500055949</v>
      </c>
      <c r="K129" s="5">
        <v>114.327849992116</v>
      </c>
      <c r="L129" s="5">
        <v>-21.861658350626648</v>
      </c>
      <c r="M129" s="5">
        <v>114.3086999893185</v>
      </c>
      <c r="N129" s="5">
        <v>-21.878766695658399</v>
      </c>
      <c r="O129" s="5">
        <v>114.289549986521</v>
      </c>
      <c r="R129" s="6">
        <v>19.5</v>
      </c>
      <c r="S129" s="7">
        <v>60</v>
      </c>
    </row>
    <row r="130" spans="1:19" x14ac:dyDescent="0.25">
      <c r="A130" t="s">
        <v>329</v>
      </c>
      <c r="B130" t="s">
        <v>26</v>
      </c>
      <c r="C130" t="s">
        <v>143</v>
      </c>
      <c r="D130" s="4">
        <v>43783</v>
      </c>
      <c r="E130" t="s">
        <v>203</v>
      </c>
      <c r="F130" t="s">
        <v>240</v>
      </c>
      <c r="G130" t="s">
        <v>239</v>
      </c>
      <c r="J130" s="5">
        <v>-25.922333333333299</v>
      </c>
      <c r="K130" s="5">
        <v>113.22669999999999</v>
      </c>
      <c r="L130" s="5">
        <v>-25.9132</v>
      </c>
      <c r="M130" s="5">
        <v>113.2252166666665</v>
      </c>
      <c r="N130" s="5">
        <v>-25.904066666666701</v>
      </c>
      <c r="O130" s="5">
        <v>113.223733333333</v>
      </c>
      <c r="R130" s="6">
        <v>10.6</v>
      </c>
      <c r="S130" s="7">
        <v>20</v>
      </c>
    </row>
    <row r="131" spans="1:19" x14ac:dyDescent="0.25">
      <c r="A131" t="s">
        <v>329</v>
      </c>
      <c r="B131" t="s">
        <v>26</v>
      </c>
      <c r="C131" t="s">
        <v>144</v>
      </c>
      <c r="D131" s="4">
        <v>43785</v>
      </c>
      <c r="E131" t="s">
        <v>203</v>
      </c>
      <c r="F131" t="s">
        <v>240</v>
      </c>
      <c r="G131" t="s">
        <v>239</v>
      </c>
      <c r="J131" s="5">
        <v>-25.649899999999999</v>
      </c>
      <c r="K131" s="5">
        <v>113.186266666667</v>
      </c>
      <c r="L131" s="5">
        <v>-25.659866666666652</v>
      </c>
      <c r="M131" s="5">
        <v>113.187266666667</v>
      </c>
      <c r="N131" s="5">
        <v>-25.669833333333301</v>
      </c>
      <c r="O131" s="5">
        <v>113.188266666667</v>
      </c>
      <c r="R131" s="6">
        <v>18.899999999999999</v>
      </c>
      <c r="S131" s="7">
        <v>20</v>
      </c>
    </row>
    <row r="132" spans="1:19" x14ac:dyDescent="0.25">
      <c r="A132" t="s">
        <v>329</v>
      </c>
      <c r="B132" t="s">
        <v>26</v>
      </c>
      <c r="C132" t="s">
        <v>145</v>
      </c>
      <c r="D132" s="4">
        <v>43785</v>
      </c>
      <c r="E132" t="s">
        <v>203</v>
      </c>
      <c r="F132" t="s">
        <v>240</v>
      </c>
      <c r="G132" t="s">
        <v>239</v>
      </c>
      <c r="J132" s="5">
        <v>-25.640183333333301</v>
      </c>
      <c r="K132" s="5">
        <v>113.21129999999999</v>
      </c>
      <c r="L132" s="5">
        <v>-25.630974999999999</v>
      </c>
      <c r="M132" s="5">
        <v>113.2113333333335</v>
      </c>
      <c r="N132" s="5">
        <v>-25.621766666666701</v>
      </c>
      <c r="O132" s="5">
        <v>113.211366666667</v>
      </c>
      <c r="R132" s="6">
        <v>15.9</v>
      </c>
      <c r="S132" s="7">
        <v>20</v>
      </c>
    </row>
    <row r="133" spans="1:19" x14ac:dyDescent="0.25">
      <c r="A133" t="s">
        <v>329</v>
      </c>
      <c r="B133" t="s">
        <v>26</v>
      </c>
      <c r="C133" t="s">
        <v>146</v>
      </c>
      <c r="D133" s="4">
        <v>43785</v>
      </c>
      <c r="E133" t="s">
        <v>203</v>
      </c>
      <c r="F133" t="s">
        <v>240</v>
      </c>
      <c r="G133" t="s">
        <v>239</v>
      </c>
      <c r="J133" s="5">
        <v>-25.6404666666667</v>
      </c>
      <c r="K133" s="5">
        <v>113.237783333333</v>
      </c>
      <c r="L133" s="5">
        <v>-25.649349999999998</v>
      </c>
      <c r="M133" s="5">
        <v>113.2382916666665</v>
      </c>
      <c r="N133" s="5">
        <v>-25.6582333333333</v>
      </c>
      <c r="O133" s="5">
        <v>113.2388</v>
      </c>
      <c r="R133" s="6">
        <v>16.100000000000001</v>
      </c>
      <c r="S133" s="7">
        <v>20</v>
      </c>
    </row>
    <row r="134" spans="1:19" x14ac:dyDescent="0.25">
      <c r="A134" t="s">
        <v>329</v>
      </c>
      <c r="B134" t="s">
        <v>26</v>
      </c>
      <c r="C134" t="s">
        <v>147</v>
      </c>
      <c r="D134" s="4">
        <v>43786</v>
      </c>
      <c r="E134" t="s">
        <v>203</v>
      </c>
      <c r="F134" t="s">
        <v>240</v>
      </c>
      <c r="G134" t="s">
        <v>239</v>
      </c>
      <c r="J134" s="5">
        <v>-25.45035</v>
      </c>
      <c r="K134" s="5">
        <v>113.409983333333</v>
      </c>
      <c r="L134" s="5">
        <v>-25.441933333333353</v>
      </c>
      <c r="M134" s="5">
        <v>113.41460833333301</v>
      </c>
      <c r="N134" s="5">
        <v>-25.433516666666701</v>
      </c>
      <c r="O134" s="5">
        <v>113.419233333333</v>
      </c>
      <c r="R134" s="6">
        <v>12.3</v>
      </c>
      <c r="S134" s="7">
        <v>20</v>
      </c>
    </row>
    <row r="135" spans="1:19" x14ac:dyDescent="0.25">
      <c r="A135" t="s">
        <v>329</v>
      </c>
      <c r="B135" t="s">
        <v>26</v>
      </c>
      <c r="C135" t="s">
        <v>148</v>
      </c>
      <c r="D135" s="4">
        <v>43786</v>
      </c>
      <c r="E135" t="s">
        <v>203</v>
      </c>
      <c r="F135" t="s">
        <v>240</v>
      </c>
      <c r="G135" t="s">
        <v>239</v>
      </c>
      <c r="J135" s="5">
        <v>-25.405666666666701</v>
      </c>
      <c r="K135" s="5">
        <v>113.38141666666699</v>
      </c>
      <c r="L135" s="5">
        <v>-25.395641666666698</v>
      </c>
      <c r="M135" s="5">
        <v>113.38325</v>
      </c>
      <c r="N135" s="5">
        <v>-25.385616666666699</v>
      </c>
      <c r="O135" s="5">
        <v>113.385083333333</v>
      </c>
      <c r="R135" s="6">
        <v>15.4</v>
      </c>
      <c r="S135" s="7">
        <v>20</v>
      </c>
    </row>
    <row r="136" spans="1:19" x14ac:dyDescent="0.25">
      <c r="A136" t="s">
        <v>329</v>
      </c>
      <c r="B136" t="s">
        <v>26</v>
      </c>
      <c r="C136" t="s">
        <v>149</v>
      </c>
      <c r="D136" s="4">
        <v>43786</v>
      </c>
      <c r="E136" t="s">
        <v>203</v>
      </c>
      <c r="F136" t="s">
        <v>240</v>
      </c>
      <c r="G136" t="s">
        <v>239</v>
      </c>
      <c r="J136" s="5">
        <v>-25.405666666666701</v>
      </c>
      <c r="K136" s="5">
        <v>113.38141666666699</v>
      </c>
      <c r="L136" s="5">
        <v>-25.395641666666698</v>
      </c>
      <c r="M136" s="5">
        <v>113.38325</v>
      </c>
      <c r="N136" s="5">
        <v>-25.385616666666699</v>
      </c>
      <c r="O136" s="5">
        <v>113.385083333333</v>
      </c>
      <c r="R136" s="6">
        <v>15.4</v>
      </c>
      <c r="S136" s="7">
        <v>20</v>
      </c>
    </row>
    <row r="137" spans="1:19" x14ac:dyDescent="0.25">
      <c r="A137" t="s">
        <v>329</v>
      </c>
      <c r="B137" t="s">
        <v>26</v>
      </c>
      <c r="C137" t="s">
        <v>150</v>
      </c>
      <c r="D137" s="4">
        <v>43787</v>
      </c>
      <c r="E137" t="s">
        <v>203</v>
      </c>
      <c r="F137" t="s">
        <v>240</v>
      </c>
      <c r="G137" t="s">
        <v>239</v>
      </c>
      <c r="J137" s="5">
        <v>-25.354533333333301</v>
      </c>
      <c r="K137" s="5">
        <v>113.382183333333</v>
      </c>
      <c r="L137" s="5">
        <v>-25.34515</v>
      </c>
      <c r="M137" s="5">
        <v>113.383083333333</v>
      </c>
      <c r="N137" s="5">
        <v>-25.3357666666667</v>
      </c>
      <c r="O137" s="5">
        <v>113.38398333333301</v>
      </c>
      <c r="R137" s="6">
        <v>15</v>
      </c>
      <c r="S137" s="7">
        <v>20</v>
      </c>
    </row>
    <row r="138" spans="1:19" x14ac:dyDescent="0.25">
      <c r="A138" t="s">
        <v>329</v>
      </c>
      <c r="B138" t="s">
        <v>26</v>
      </c>
      <c r="C138" t="s">
        <v>151</v>
      </c>
      <c r="D138" s="4">
        <v>43787</v>
      </c>
      <c r="E138" t="s">
        <v>203</v>
      </c>
      <c r="F138" t="s">
        <v>240</v>
      </c>
      <c r="G138" t="s">
        <v>239</v>
      </c>
      <c r="J138" s="5">
        <v>-25.354533333333301</v>
      </c>
      <c r="K138" s="5">
        <v>113.382183333333</v>
      </c>
      <c r="L138" s="5">
        <v>-25.34515</v>
      </c>
      <c r="M138" s="5">
        <v>113.383083333333</v>
      </c>
      <c r="N138" s="5">
        <v>-25.3357666666667</v>
      </c>
      <c r="O138" s="5">
        <v>113.38398333333301</v>
      </c>
      <c r="R138" s="6">
        <v>15</v>
      </c>
      <c r="S138" s="7">
        <v>20</v>
      </c>
    </row>
    <row r="139" spans="1:19" x14ac:dyDescent="0.25">
      <c r="A139" t="s">
        <v>329</v>
      </c>
      <c r="B139" t="s">
        <v>26</v>
      </c>
      <c r="C139" t="s">
        <v>152</v>
      </c>
      <c r="D139" s="4">
        <v>43788</v>
      </c>
      <c r="E139" t="s">
        <v>203</v>
      </c>
      <c r="F139" t="s">
        <v>240</v>
      </c>
      <c r="G139" t="s">
        <v>239</v>
      </c>
      <c r="J139" s="5">
        <v>-25.342266666666699</v>
      </c>
      <c r="K139" s="5">
        <v>113.64935</v>
      </c>
      <c r="L139" s="5">
        <v>-25.33305</v>
      </c>
      <c r="M139" s="5">
        <v>113.650825</v>
      </c>
      <c r="N139" s="5">
        <v>-25.323833333333301</v>
      </c>
      <c r="O139" s="5">
        <v>113.6523</v>
      </c>
      <c r="R139" s="6">
        <v>12.9</v>
      </c>
      <c r="S139" s="7">
        <v>20</v>
      </c>
    </row>
    <row r="140" spans="1:19" x14ac:dyDescent="0.25">
      <c r="A140" t="s">
        <v>329</v>
      </c>
      <c r="B140" t="s">
        <v>26</v>
      </c>
      <c r="C140" t="s">
        <v>153</v>
      </c>
      <c r="D140" s="4">
        <v>43790</v>
      </c>
      <c r="E140" t="s">
        <v>203</v>
      </c>
      <c r="F140" t="s">
        <v>240</v>
      </c>
      <c r="G140" t="s">
        <v>239</v>
      </c>
      <c r="J140" s="5">
        <v>-25.204350000000002</v>
      </c>
      <c r="K140" s="5">
        <v>113.412433333333</v>
      </c>
      <c r="L140" s="5">
        <v>-25.1951</v>
      </c>
      <c r="M140" s="5">
        <v>113.41431666666651</v>
      </c>
      <c r="N140" s="5">
        <v>-25.185849999999999</v>
      </c>
      <c r="O140" s="5">
        <v>113.4162</v>
      </c>
      <c r="R140" s="6">
        <v>18.8</v>
      </c>
      <c r="S140" s="7">
        <v>20</v>
      </c>
    </row>
    <row r="141" spans="1:19" x14ac:dyDescent="0.25">
      <c r="A141" t="s">
        <v>329</v>
      </c>
      <c r="B141" t="s">
        <v>26</v>
      </c>
      <c r="C141" t="s">
        <v>154</v>
      </c>
      <c r="D141" s="4">
        <v>43792</v>
      </c>
      <c r="E141" t="s">
        <v>203</v>
      </c>
      <c r="F141" t="s">
        <v>240</v>
      </c>
      <c r="G141" t="s">
        <v>239</v>
      </c>
      <c r="J141" s="5">
        <v>-25.070650000000001</v>
      </c>
      <c r="K141" s="5">
        <v>113.285483333333</v>
      </c>
      <c r="L141" s="5">
        <v>-25.062183333333351</v>
      </c>
      <c r="M141" s="5">
        <v>113.28399166666651</v>
      </c>
      <c r="N141" s="5">
        <v>-25.053716666666698</v>
      </c>
      <c r="O141" s="5">
        <v>113.2825</v>
      </c>
      <c r="R141" s="6">
        <v>18.2</v>
      </c>
      <c r="S141" s="7">
        <v>20</v>
      </c>
    </row>
    <row r="142" spans="1:19" x14ac:dyDescent="0.25">
      <c r="A142" t="s">
        <v>329</v>
      </c>
      <c r="B142" t="s">
        <v>26</v>
      </c>
      <c r="C142" t="s">
        <v>155</v>
      </c>
      <c r="D142" s="4">
        <v>43792</v>
      </c>
      <c r="E142" t="s">
        <v>203</v>
      </c>
      <c r="F142" t="s">
        <v>240</v>
      </c>
      <c r="G142" t="s">
        <v>239</v>
      </c>
      <c r="J142" s="5">
        <v>-25.079133333333299</v>
      </c>
      <c r="K142" s="5">
        <v>113.344666666667</v>
      </c>
      <c r="L142" s="5">
        <v>-25.069758333333297</v>
      </c>
      <c r="M142" s="5">
        <v>113.3469833333335</v>
      </c>
      <c r="N142" s="5">
        <v>-25.060383333333299</v>
      </c>
      <c r="O142" s="5">
        <v>113.3493</v>
      </c>
      <c r="R142" s="6">
        <v>21.5</v>
      </c>
      <c r="S142" s="7">
        <v>20</v>
      </c>
    </row>
    <row r="143" spans="1:19" x14ac:dyDescent="0.25">
      <c r="A143" t="s">
        <v>329</v>
      </c>
      <c r="B143" t="s">
        <v>26</v>
      </c>
      <c r="C143" t="s">
        <v>156</v>
      </c>
      <c r="D143" s="4">
        <v>43792</v>
      </c>
      <c r="E143" t="s">
        <v>203</v>
      </c>
      <c r="F143" t="s">
        <v>240</v>
      </c>
      <c r="G143" t="s">
        <v>239</v>
      </c>
      <c r="J143" s="5">
        <v>-25.001349999999999</v>
      </c>
      <c r="K143" s="5">
        <v>113.22688333333301</v>
      </c>
      <c r="L143" s="5">
        <v>-24.993649999999999</v>
      </c>
      <c r="M143" s="5">
        <v>113.22104166666651</v>
      </c>
      <c r="N143" s="5">
        <v>-24.985949999999999</v>
      </c>
      <c r="O143" s="5">
        <v>113.2152</v>
      </c>
      <c r="R143" s="6">
        <v>15.4</v>
      </c>
      <c r="S143" s="7">
        <v>20</v>
      </c>
    </row>
    <row r="144" spans="1:19" x14ac:dyDescent="0.25">
      <c r="A144" t="s">
        <v>329</v>
      </c>
      <c r="B144" t="s">
        <v>26</v>
      </c>
      <c r="C144" t="s">
        <v>157</v>
      </c>
      <c r="D144" s="4">
        <v>43793</v>
      </c>
      <c r="E144" t="s">
        <v>203</v>
      </c>
      <c r="F144" t="s">
        <v>240</v>
      </c>
      <c r="G144" t="s">
        <v>239</v>
      </c>
      <c r="J144" s="5">
        <v>-24.884599999999999</v>
      </c>
      <c r="K144" s="5">
        <v>113.27209999999999</v>
      </c>
      <c r="L144" s="5">
        <v>-24.875349999999997</v>
      </c>
      <c r="M144" s="5">
        <v>113.27216666666649</v>
      </c>
      <c r="N144" s="5">
        <v>-24.866099999999999</v>
      </c>
      <c r="O144" s="5">
        <v>113.27223333333301</v>
      </c>
      <c r="R144" s="6">
        <v>19.5</v>
      </c>
      <c r="S144" s="7">
        <v>20</v>
      </c>
    </row>
    <row r="145" spans="1:19" x14ac:dyDescent="0.25">
      <c r="A145" t="s">
        <v>329</v>
      </c>
      <c r="B145" t="s">
        <v>26</v>
      </c>
      <c r="C145" t="s">
        <v>158</v>
      </c>
      <c r="D145" s="4">
        <v>43881</v>
      </c>
      <c r="E145" t="s">
        <v>203</v>
      </c>
      <c r="F145" t="s">
        <v>240</v>
      </c>
      <c r="G145" t="s">
        <v>239</v>
      </c>
      <c r="J145" s="5">
        <v>-25.3785666666667</v>
      </c>
      <c r="K145" s="5">
        <v>113.450533333333</v>
      </c>
      <c r="L145" s="5">
        <v>-25.387233333333349</v>
      </c>
      <c r="M145" s="5">
        <v>113.444575</v>
      </c>
      <c r="N145" s="5">
        <v>-25.395900000000001</v>
      </c>
      <c r="O145" s="5">
        <v>113.438616666667</v>
      </c>
      <c r="R145" s="6">
        <v>13.4</v>
      </c>
      <c r="S145" s="7">
        <v>20</v>
      </c>
    </row>
    <row r="146" spans="1:19" x14ac:dyDescent="0.25">
      <c r="A146" t="s">
        <v>329</v>
      </c>
      <c r="B146" t="s">
        <v>26</v>
      </c>
      <c r="C146" t="s">
        <v>159</v>
      </c>
      <c r="D146" s="4">
        <v>43881</v>
      </c>
      <c r="E146" t="s">
        <v>203</v>
      </c>
      <c r="F146" t="s">
        <v>240</v>
      </c>
      <c r="G146" t="s">
        <v>239</v>
      </c>
      <c r="J146" s="5">
        <v>-25.357050000000001</v>
      </c>
      <c r="K146" s="5">
        <v>113.407783333333</v>
      </c>
      <c r="L146" s="5">
        <v>-25.347766666666651</v>
      </c>
      <c r="M146" s="5">
        <v>113.41093333333299</v>
      </c>
      <c r="N146" s="5">
        <v>-25.338483333333301</v>
      </c>
      <c r="O146" s="5">
        <v>113.414083333333</v>
      </c>
      <c r="R146" s="6">
        <v>16</v>
      </c>
      <c r="S146" s="7">
        <v>20</v>
      </c>
    </row>
    <row r="147" spans="1:19" x14ac:dyDescent="0.25">
      <c r="A147" t="s">
        <v>329</v>
      </c>
      <c r="B147" t="s">
        <v>26</v>
      </c>
      <c r="C147" t="s">
        <v>160</v>
      </c>
      <c r="D147" s="4">
        <v>43882</v>
      </c>
      <c r="E147" t="s">
        <v>203</v>
      </c>
      <c r="F147" t="s">
        <v>240</v>
      </c>
      <c r="G147" t="s">
        <v>239</v>
      </c>
      <c r="J147" s="5">
        <v>-25.657516666666702</v>
      </c>
      <c r="K147" s="5">
        <v>113.267283333333</v>
      </c>
      <c r="L147" s="5">
        <v>-25.666425</v>
      </c>
      <c r="M147" s="5">
        <v>113.261658333333</v>
      </c>
      <c r="N147" s="5">
        <v>-25.675333333333299</v>
      </c>
      <c r="O147" s="5">
        <v>113.25603333333299</v>
      </c>
      <c r="R147" s="6">
        <v>14.1</v>
      </c>
      <c r="S147" s="7">
        <v>21</v>
      </c>
    </row>
    <row r="148" spans="1:19" x14ac:dyDescent="0.25">
      <c r="A148" t="s">
        <v>329</v>
      </c>
      <c r="B148" t="s">
        <v>26</v>
      </c>
      <c r="C148" t="s">
        <v>161</v>
      </c>
      <c r="D148" s="4">
        <v>43884</v>
      </c>
      <c r="E148" t="s">
        <v>203</v>
      </c>
      <c r="F148" t="s">
        <v>240</v>
      </c>
      <c r="G148" t="s">
        <v>239</v>
      </c>
      <c r="J148" s="5">
        <v>-25.305633333333301</v>
      </c>
      <c r="K148" s="5">
        <v>113.45095000000001</v>
      </c>
      <c r="L148" s="5">
        <v>-25.29649166666665</v>
      </c>
      <c r="M148" s="5">
        <v>113.4468416666665</v>
      </c>
      <c r="N148" s="5">
        <v>-25.28735</v>
      </c>
      <c r="O148" s="5">
        <v>113.442733333333</v>
      </c>
      <c r="R148" s="6">
        <v>15.1</v>
      </c>
      <c r="S148" s="7">
        <v>20</v>
      </c>
    </row>
    <row r="149" spans="1:19" x14ac:dyDescent="0.25">
      <c r="A149" t="s">
        <v>329</v>
      </c>
      <c r="B149" t="s">
        <v>26</v>
      </c>
      <c r="C149" t="s">
        <v>162</v>
      </c>
      <c r="D149" s="4">
        <v>43884</v>
      </c>
      <c r="E149" t="s">
        <v>203</v>
      </c>
      <c r="F149" t="s">
        <v>240</v>
      </c>
      <c r="G149" t="s">
        <v>239</v>
      </c>
      <c r="J149" s="5">
        <v>-25.283516666666699</v>
      </c>
      <c r="K149" s="5">
        <v>113.42638333333301</v>
      </c>
      <c r="L149" s="5">
        <v>-25.293675</v>
      </c>
      <c r="M149" s="5">
        <v>113.42495</v>
      </c>
      <c r="N149" s="5">
        <v>-25.303833333333301</v>
      </c>
      <c r="O149" s="5">
        <v>113.423516666667</v>
      </c>
      <c r="R149" s="6">
        <v>16.600000000000001</v>
      </c>
      <c r="S149" s="7">
        <v>20</v>
      </c>
    </row>
    <row r="150" spans="1:19" x14ac:dyDescent="0.25">
      <c r="A150" t="s">
        <v>329</v>
      </c>
      <c r="B150" t="s">
        <v>26</v>
      </c>
      <c r="C150" t="s">
        <v>163</v>
      </c>
      <c r="D150" s="4">
        <v>43884</v>
      </c>
      <c r="E150" t="s">
        <v>203</v>
      </c>
      <c r="F150" t="s">
        <v>240</v>
      </c>
      <c r="G150" t="s">
        <v>239</v>
      </c>
      <c r="J150" s="5">
        <v>-25.298033333333301</v>
      </c>
      <c r="K150" s="5">
        <v>113.378333333333</v>
      </c>
      <c r="L150" s="5">
        <v>-25.288133333333299</v>
      </c>
      <c r="M150" s="5">
        <v>113.3836</v>
      </c>
      <c r="N150" s="5">
        <v>-25.278233333333301</v>
      </c>
      <c r="O150" s="5">
        <v>113.388866666667</v>
      </c>
      <c r="R150" s="6">
        <v>16.2</v>
      </c>
      <c r="S150" s="7">
        <v>20</v>
      </c>
    </row>
    <row r="151" spans="1:19" x14ac:dyDescent="0.25">
      <c r="A151" t="s">
        <v>329</v>
      </c>
      <c r="B151" t="s">
        <v>26</v>
      </c>
      <c r="C151" t="s">
        <v>164</v>
      </c>
      <c r="D151" s="4">
        <v>43886</v>
      </c>
      <c r="E151" t="s">
        <v>203</v>
      </c>
      <c r="F151" t="s">
        <v>240</v>
      </c>
      <c r="G151" t="s">
        <v>239</v>
      </c>
      <c r="J151" s="5">
        <v>-24.886766666666698</v>
      </c>
      <c r="K151" s="5">
        <v>113.261783333333</v>
      </c>
      <c r="L151" s="5">
        <v>-24.896249999999998</v>
      </c>
      <c r="M151" s="5">
        <v>113.25932499999999</v>
      </c>
      <c r="N151" s="5">
        <v>-24.905733333333298</v>
      </c>
      <c r="O151" s="5">
        <v>113.25686666666699</v>
      </c>
      <c r="R151" s="6">
        <v>20</v>
      </c>
      <c r="S151" s="7">
        <v>20</v>
      </c>
    </row>
    <row r="152" spans="1:19" x14ac:dyDescent="0.25">
      <c r="A152" t="s">
        <v>329</v>
      </c>
      <c r="B152" t="s">
        <v>26</v>
      </c>
      <c r="C152" t="s">
        <v>165</v>
      </c>
      <c r="D152" s="4">
        <v>43906</v>
      </c>
      <c r="E152" t="s">
        <v>203</v>
      </c>
      <c r="F152" t="s">
        <v>240</v>
      </c>
      <c r="G152" t="s">
        <v>239</v>
      </c>
      <c r="J152" s="5">
        <v>-25.255683326721201</v>
      </c>
      <c r="K152" s="5">
        <v>113.626116689046</v>
      </c>
      <c r="L152" s="5">
        <v>-25.243266661961901</v>
      </c>
      <c r="M152" s="5">
        <v>113.616825008392</v>
      </c>
      <c r="N152" s="5">
        <v>-25.230849997202601</v>
      </c>
      <c r="O152" s="5">
        <v>113.607533327738</v>
      </c>
      <c r="R152" s="6">
        <v>12.7</v>
      </c>
      <c r="S152" s="7">
        <v>30</v>
      </c>
    </row>
    <row r="153" spans="1:19" x14ac:dyDescent="0.25">
      <c r="A153" t="s">
        <v>329</v>
      </c>
      <c r="B153" t="s">
        <v>26</v>
      </c>
      <c r="C153" t="s">
        <v>166</v>
      </c>
      <c r="D153" s="4">
        <v>43993</v>
      </c>
      <c r="E153" t="s">
        <v>203</v>
      </c>
      <c r="F153" t="s">
        <v>240</v>
      </c>
      <c r="G153" t="s">
        <v>239</v>
      </c>
      <c r="J153" s="5">
        <v>-25.2181333382924</v>
      </c>
      <c r="K153" s="5">
        <v>113.609966659546</v>
      </c>
      <c r="L153" s="5">
        <v>-25.233483338356002</v>
      </c>
      <c r="M153" s="5">
        <v>113.610708332062</v>
      </c>
      <c r="N153" s="5">
        <v>-25.248833338419601</v>
      </c>
      <c r="O153" s="5">
        <v>113.611450004578</v>
      </c>
      <c r="R153" s="6">
        <v>12.9</v>
      </c>
      <c r="S153" s="7">
        <v>30</v>
      </c>
    </row>
    <row r="154" spans="1:19" x14ac:dyDescent="0.25">
      <c r="A154" t="s">
        <v>329</v>
      </c>
      <c r="B154" t="s">
        <v>26</v>
      </c>
      <c r="C154" t="s">
        <v>167</v>
      </c>
      <c r="D154" s="4">
        <v>44055</v>
      </c>
      <c r="E154" t="s">
        <v>203</v>
      </c>
      <c r="F154" t="s">
        <v>240</v>
      </c>
      <c r="G154" t="s">
        <v>239</v>
      </c>
      <c r="J154" s="5">
        <v>-25.637933349609401</v>
      </c>
      <c r="K154" s="5">
        <v>113.206333335241</v>
      </c>
      <c r="L154" s="5">
        <v>-25.65383332570395</v>
      </c>
      <c r="M154" s="5">
        <v>113.207100001971</v>
      </c>
      <c r="N154" s="5">
        <v>-25.669733301798502</v>
      </c>
      <c r="O154" s="5">
        <v>113.207866668701</v>
      </c>
      <c r="R154" s="6">
        <v>16.5</v>
      </c>
      <c r="S154" s="7">
        <v>30</v>
      </c>
    </row>
    <row r="155" spans="1:19" x14ac:dyDescent="0.25">
      <c r="A155" t="s">
        <v>329</v>
      </c>
      <c r="B155" t="s">
        <v>26</v>
      </c>
      <c r="C155" t="s">
        <v>168</v>
      </c>
      <c r="D155" s="4">
        <v>44147</v>
      </c>
      <c r="E155" t="s">
        <v>203</v>
      </c>
      <c r="F155" t="s">
        <v>240</v>
      </c>
      <c r="G155" t="s">
        <v>239</v>
      </c>
      <c r="J155" s="5">
        <v>-25.181833333333302</v>
      </c>
      <c r="K155" s="5">
        <v>113.553266666667</v>
      </c>
      <c r="L155" s="5">
        <v>-25.172924999999999</v>
      </c>
      <c r="M155" s="5">
        <v>113.549516666667</v>
      </c>
      <c r="N155" s="5">
        <v>-25.164016666666701</v>
      </c>
      <c r="O155" s="5">
        <v>113.54576666666701</v>
      </c>
      <c r="R155" s="6">
        <v>15.3</v>
      </c>
      <c r="S155" s="7">
        <v>20</v>
      </c>
    </row>
    <row r="156" spans="1:19" x14ac:dyDescent="0.25">
      <c r="A156" t="s">
        <v>329</v>
      </c>
      <c r="B156" t="s">
        <v>26</v>
      </c>
      <c r="C156" t="s">
        <v>169</v>
      </c>
      <c r="D156" s="4">
        <v>44149</v>
      </c>
      <c r="E156" t="s">
        <v>203</v>
      </c>
      <c r="F156" t="s">
        <v>240</v>
      </c>
      <c r="G156" t="s">
        <v>239</v>
      </c>
      <c r="J156" s="5">
        <v>-25.2165833333333</v>
      </c>
      <c r="K156" s="5">
        <v>113.38226666666699</v>
      </c>
      <c r="L156" s="5">
        <v>-25.207291666666649</v>
      </c>
      <c r="M156" s="5">
        <v>113.3845833333335</v>
      </c>
      <c r="N156" s="5">
        <v>-25.198</v>
      </c>
      <c r="O156" s="5">
        <v>113.3869</v>
      </c>
      <c r="R156" s="6">
        <v>17.600000000000001</v>
      </c>
      <c r="S156" s="7">
        <v>20</v>
      </c>
    </row>
    <row r="157" spans="1:19" x14ac:dyDescent="0.25">
      <c r="A157" t="s">
        <v>329</v>
      </c>
      <c r="B157" t="s">
        <v>26</v>
      </c>
      <c r="C157" t="s">
        <v>170</v>
      </c>
      <c r="D157" s="4">
        <v>44150</v>
      </c>
      <c r="E157" t="s">
        <v>203</v>
      </c>
      <c r="F157" t="s">
        <v>240</v>
      </c>
      <c r="G157" t="s">
        <v>239</v>
      </c>
      <c r="J157" s="5">
        <v>-24.983966666666699</v>
      </c>
      <c r="K157" s="5">
        <v>113.27828333333299</v>
      </c>
      <c r="L157" s="5">
        <v>-24.974724999999999</v>
      </c>
      <c r="M157" s="5">
        <v>113.28004999999999</v>
      </c>
      <c r="N157" s="5">
        <v>-24.965483333333299</v>
      </c>
      <c r="O157" s="5">
        <v>113.281816666667</v>
      </c>
      <c r="R157" s="6">
        <v>18.3</v>
      </c>
      <c r="S157" s="7">
        <v>20</v>
      </c>
    </row>
    <row r="158" spans="1:19" x14ac:dyDescent="0.25">
      <c r="A158" t="s">
        <v>329</v>
      </c>
      <c r="B158" t="s">
        <v>26</v>
      </c>
      <c r="C158" t="s">
        <v>171</v>
      </c>
      <c r="D158" s="4">
        <v>44150</v>
      </c>
      <c r="E158" t="s">
        <v>203</v>
      </c>
      <c r="F158" t="s">
        <v>240</v>
      </c>
      <c r="G158" t="s">
        <v>239</v>
      </c>
      <c r="J158" s="5">
        <v>-24.802566666666699</v>
      </c>
      <c r="K158" s="5">
        <v>113.30875</v>
      </c>
      <c r="L158" s="5">
        <v>-24.792766666666701</v>
      </c>
      <c r="M158" s="5">
        <v>113.3086</v>
      </c>
      <c r="N158" s="5">
        <v>-24.782966666666699</v>
      </c>
      <c r="O158" s="5">
        <v>113.30844999999999</v>
      </c>
      <c r="R158" s="6">
        <v>28</v>
      </c>
      <c r="S158" s="7">
        <v>20</v>
      </c>
    </row>
    <row r="159" spans="1:19" x14ac:dyDescent="0.25">
      <c r="A159" t="s">
        <v>329</v>
      </c>
      <c r="B159" t="s">
        <v>26</v>
      </c>
      <c r="C159" t="s">
        <v>172</v>
      </c>
      <c r="D159" s="4">
        <v>44151</v>
      </c>
      <c r="E159" t="s">
        <v>203</v>
      </c>
      <c r="F159" t="s">
        <v>240</v>
      </c>
      <c r="G159" t="s">
        <v>239</v>
      </c>
      <c r="J159" s="5">
        <v>-24.971683333333299</v>
      </c>
      <c r="K159" s="5">
        <v>113.19353333333299</v>
      </c>
      <c r="L159" s="5">
        <v>-24.962674999999997</v>
      </c>
      <c r="M159" s="5">
        <v>113.19513333333299</v>
      </c>
      <c r="N159" s="5">
        <v>-24.953666666666699</v>
      </c>
      <c r="O159" s="5">
        <v>113.196733333333</v>
      </c>
      <c r="R159" s="6">
        <v>16.2</v>
      </c>
      <c r="S159" s="7">
        <v>20</v>
      </c>
    </row>
    <row r="160" spans="1:19" x14ac:dyDescent="0.25">
      <c r="A160" t="s">
        <v>329</v>
      </c>
      <c r="B160" t="s">
        <v>26</v>
      </c>
      <c r="C160" t="s">
        <v>173</v>
      </c>
      <c r="D160" s="4">
        <v>44153</v>
      </c>
      <c r="E160" t="s">
        <v>203</v>
      </c>
      <c r="F160" t="s">
        <v>240</v>
      </c>
      <c r="G160" t="s">
        <v>239</v>
      </c>
      <c r="J160" s="5">
        <v>-25.662783333333302</v>
      </c>
      <c r="K160" s="5">
        <v>113.23933333333299</v>
      </c>
      <c r="L160" s="5">
        <v>-25.653208333333303</v>
      </c>
      <c r="M160" s="5">
        <v>113.239008333333</v>
      </c>
      <c r="N160" s="5">
        <v>-25.643633333333302</v>
      </c>
      <c r="O160" s="5">
        <v>113.238683333333</v>
      </c>
      <c r="R160" s="6">
        <v>17.100000000000001</v>
      </c>
      <c r="S160" s="7">
        <v>20</v>
      </c>
    </row>
    <row r="161" spans="1:19" x14ac:dyDescent="0.25">
      <c r="A161" t="s">
        <v>329</v>
      </c>
      <c r="B161" t="s">
        <v>26</v>
      </c>
      <c r="C161" t="s">
        <v>174</v>
      </c>
      <c r="D161" s="4">
        <v>44154</v>
      </c>
      <c r="E161" t="s">
        <v>203</v>
      </c>
      <c r="F161" t="s">
        <v>240</v>
      </c>
      <c r="G161" t="s">
        <v>239</v>
      </c>
      <c r="J161" s="5">
        <v>-25.585000000000001</v>
      </c>
      <c r="K161" s="5">
        <v>113.22425</v>
      </c>
      <c r="L161" s="5">
        <v>-25.575708333333353</v>
      </c>
      <c r="M161" s="5">
        <v>113.22262499999999</v>
      </c>
      <c r="N161" s="5">
        <v>-25.566416666666701</v>
      </c>
      <c r="O161" s="5">
        <v>113.221</v>
      </c>
      <c r="R161" s="6">
        <v>16</v>
      </c>
      <c r="S161" s="7">
        <v>20</v>
      </c>
    </row>
    <row r="162" spans="1:19" x14ac:dyDescent="0.25">
      <c r="A162" t="s">
        <v>329</v>
      </c>
      <c r="B162" t="s">
        <v>26</v>
      </c>
      <c r="C162" t="s">
        <v>175</v>
      </c>
      <c r="D162" s="4">
        <v>44239</v>
      </c>
      <c r="E162" t="s">
        <v>203</v>
      </c>
      <c r="F162" t="s">
        <v>240</v>
      </c>
      <c r="G162" t="s">
        <v>239</v>
      </c>
      <c r="J162" s="5">
        <v>-25.301666666666701</v>
      </c>
      <c r="K162" s="5">
        <v>113.66365</v>
      </c>
      <c r="L162" s="5">
        <v>-25.29265833333335</v>
      </c>
      <c r="M162" s="5">
        <v>113.65995000000001</v>
      </c>
      <c r="N162" s="5">
        <v>-25.283650000000002</v>
      </c>
      <c r="O162" s="5">
        <v>113.65625</v>
      </c>
      <c r="R162" s="6">
        <v>12</v>
      </c>
      <c r="S162" s="7">
        <v>20</v>
      </c>
    </row>
    <row r="163" spans="1:19" x14ac:dyDescent="0.25">
      <c r="A163" t="s">
        <v>329</v>
      </c>
      <c r="B163" t="s">
        <v>26</v>
      </c>
      <c r="C163" t="s">
        <v>176</v>
      </c>
      <c r="D163" s="4">
        <v>44239</v>
      </c>
      <c r="E163" t="s">
        <v>203</v>
      </c>
      <c r="F163" t="s">
        <v>240</v>
      </c>
      <c r="G163" t="s">
        <v>239</v>
      </c>
      <c r="J163" s="5">
        <v>-25.3966666666667</v>
      </c>
      <c r="K163" s="5">
        <v>113.582433333333</v>
      </c>
      <c r="L163" s="5">
        <v>-25.386299999999999</v>
      </c>
      <c r="M163" s="5">
        <v>113.580833333333</v>
      </c>
      <c r="N163" s="5">
        <v>-25.3759333333333</v>
      </c>
      <c r="O163" s="5">
        <v>113.57923333333299</v>
      </c>
      <c r="R163" s="6">
        <v>14.4</v>
      </c>
      <c r="S163" s="7">
        <v>20</v>
      </c>
    </row>
    <row r="164" spans="1:19" x14ac:dyDescent="0.25">
      <c r="A164" t="s">
        <v>329</v>
      </c>
      <c r="B164" t="s">
        <v>26</v>
      </c>
      <c r="C164" t="s">
        <v>177</v>
      </c>
      <c r="D164" s="4">
        <v>44240</v>
      </c>
      <c r="E164" t="s">
        <v>203</v>
      </c>
      <c r="F164" t="s">
        <v>240</v>
      </c>
      <c r="G164" t="s">
        <v>239</v>
      </c>
      <c r="J164" s="5">
        <v>-25.179316666666701</v>
      </c>
      <c r="K164" s="5">
        <v>113.441</v>
      </c>
      <c r="L164" s="5">
        <v>-25.171325</v>
      </c>
      <c r="M164" s="5">
        <v>113.4356333333335</v>
      </c>
      <c r="N164" s="5">
        <v>-25.163333333333298</v>
      </c>
      <c r="O164" s="5">
        <v>113.43026666666699</v>
      </c>
      <c r="R164" s="6">
        <v>16.899999999999999</v>
      </c>
      <c r="S164" s="7">
        <v>20</v>
      </c>
    </row>
    <row r="165" spans="1:19" x14ac:dyDescent="0.25">
      <c r="A165" t="s">
        <v>329</v>
      </c>
      <c r="B165" t="s">
        <v>26</v>
      </c>
      <c r="C165" t="s">
        <v>178</v>
      </c>
      <c r="D165" s="4">
        <v>44240</v>
      </c>
      <c r="E165" t="s">
        <v>203</v>
      </c>
      <c r="F165" t="s">
        <v>240</v>
      </c>
      <c r="G165" t="s">
        <v>239</v>
      </c>
      <c r="J165" s="5">
        <v>-25.179316666666701</v>
      </c>
      <c r="K165" s="5">
        <v>113.441</v>
      </c>
      <c r="L165" s="5">
        <v>-25.171325</v>
      </c>
      <c r="M165" s="5">
        <v>113.4356333333335</v>
      </c>
      <c r="N165" s="5">
        <v>-25.163333333333298</v>
      </c>
      <c r="O165" s="5">
        <v>113.43026666666699</v>
      </c>
      <c r="R165" s="6">
        <v>16.899999999999999</v>
      </c>
      <c r="S165" s="7">
        <v>20</v>
      </c>
    </row>
    <row r="166" spans="1:19" x14ac:dyDescent="0.25">
      <c r="A166" t="s">
        <v>329</v>
      </c>
      <c r="B166" t="s">
        <v>26</v>
      </c>
      <c r="C166" t="s">
        <v>179</v>
      </c>
      <c r="D166" s="4">
        <v>44240</v>
      </c>
      <c r="E166" t="s">
        <v>203</v>
      </c>
      <c r="F166" t="s">
        <v>240</v>
      </c>
      <c r="G166" t="s">
        <v>239</v>
      </c>
      <c r="J166" s="5">
        <v>-25.257400000000001</v>
      </c>
      <c r="K166" s="5">
        <v>113.65455</v>
      </c>
      <c r="L166" s="5">
        <v>-25.248775000000002</v>
      </c>
      <c r="M166" s="5">
        <v>113.6509833333335</v>
      </c>
      <c r="N166" s="5">
        <v>-25.24015</v>
      </c>
      <c r="O166" s="5">
        <v>113.647416666667</v>
      </c>
      <c r="R166" s="6">
        <v>11.4</v>
      </c>
      <c r="S166" s="7">
        <v>20</v>
      </c>
    </row>
    <row r="167" spans="1:19" x14ac:dyDescent="0.25">
      <c r="A167" t="s">
        <v>329</v>
      </c>
      <c r="B167" t="s">
        <v>26</v>
      </c>
      <c r="C167" t="s">
        <v>180</v>
      </c>
      <c r="D167" s="4">
        <v>44240</v>
      </c>
      <c r="E167" t="s">
        <v>203</v>
      </c>
      <c r="F167" t="s">
        <v>240</v>
      </c>
      <c r="G167" t="s">
        <v>239</v>
      </c>
      <c r="J167" s="5">
        <v>-25.257400000000001</v>
      </c>
      <c r="K167" s="5">
        <v>113.65455</v>
      </c>
      <c r="L167" s="5">
        <v>-25.248775000000002</v>
      </c>
      <c r="M167" s="5">
        <v>113.6509833333335</v>
      </c>
      <c r="N167" s="5">
        <v>-25.24015</v>
      </c>
      <c r="O167" s="5">
        <v>113.647416666667</v>
      </c>
      <c r="R167" s="6">
        <v>11.4</v>
      </c>
      <c r="S167" s="7">
        <v>20</v>
      </c>
    </row>
    <row r="168" spans="1:19" x14ac:dyDescent="0.25">
      <c r="A168" t="s">
        <v>329</v>
      </c>
      <c r="B168" t="s">
        <v>26</v>
      </c>
      <c r="C168" t="s">
        <v>181</v>
      </c>
      <c r="D168" s="4">
        <v>44240</v>
      </c>
      <c r="E168" t="s">
        <v>203</v>
      </c>
      <c r="F168" t="s">
        <v>240</v>
      </c>
      <c r="G168" t="s">
        <v>239</v>
      </c>
      <c r="J168" s="5">
        <v>-25.218800000000002</v>
      </c>
      <c r="K168" s="5">
        <v>113.637933333333</v>
      </c>
      <c r="L168" s="5">
        <v>-25.211891666666652</v>
      </c>
      <c r="M168" s="5">
        <v>113.63121666666649</v>
      </c>
      <c r="N168" s="5">
        <v>-25.204983333333299</v>
      </c>
      <c r="O168" s="5">
        <v>113.6245</v>
      </c>
      <c r="R168" s="6">
        <v>12.3</v>
      </c>
      <c r="S168" s="7">
        <v>20</v>
      </c>
    </row>
    <row r="169" spans="1:19" x14ac:dyDescent="0.25">
      <c r="A169" t="s">
        <v>329</v>
      </c>
      <c r="B169" t="s">
        <v>26</v>
      </c>
      <c r="C169" t="s">
        <v>182</v>
      </c>
      <c r="D169" s="4">
        <v>44241</v>
      </c>
      <c r="E169" t="s">
        <v>203</v>
      </c>
      <c r="F169" t="s">
        <v>240</v>
      </c>
      <c r="G169" t="s">
        <v>239</v>
      </c>
      <c r="J169" s="5">
        <v>-24.7816166666667</v>
      </c>
      <c r="K169" s="5">
        <v>113.24305</v>
      </c>
      <c r="L169" s="5">
        <v>-24.791083333333351</v>
      </c>
      <c r="M169" s="5">
        <v>113.2433166666665</v>
      </c>
      <c r="N169" s="5">
        <v>-24.800550000000001</v>
      </c>
      <c r="O169" s="5">
        <v>113.24358333333301</v>
      </c>
      <c r="R169" s="6">
        <v>24.7</v>
      </c>
      <c r="S169" s="7">
        <v>20</v>
      </c>
    </row>
    <row r="170" spans="1:19" x14ac:dyDescent="0.25">
      <c r="A170" t="s">
        <v>329</v>
      </c>
      <c r="B170" t="s">
        <v>26</v>
      </c>
      <c r="C170" t="s">
        <v>183</v>
      </c>
      <c r="D170" s="4">
        <v>44242</v>
      </c>
      <c r="E170" t="s">
        <v>203</v>
      </c>
      <c r="F170" t="s">
        <v>240</v>
      </c>
      <c r="G170" t="s">
        <v>239</v>
      </c>
      <c r="J170" s="5">
        <v>-25.100583333333301</v>
      </c>
      <c r="K170" s="5">
        <v>113.287833333333</v>
      </c>
      <c r="L170" s="5">
        <v>-25.109575</v>
      </c>
      <c r="M170" s="5">
        <v>113.28774166666651</v>
      </c>
      <c r="N170" s="5">
        <v>-25.118566666666698</v>
      </c>
      <c r="O170" s="5">
        <v>113.28765</v>
      </c>
      <c r="R170" s="6">
        <v>17.7</v>
      </c>
      <c r="S170" s="7">
        <v>20</v>
      </c>
    </row>
    <row r="171" spans="1:19" x14ac:dyDescent="0.25">
      <c r="A171" t="s">
        <v>329</v>
      </c>
      <c r="B171" t="s">
        <v>26</v>
      </c>
      <c r="C171" t="s">
        <v>184</v>
      </c>
      <c r="D171" s="4">
        <v>44243</v>
      </c>
      <c r="E171" t="s">
        <v>203</v>
      </c>
      <c r="F171" t="s">
        <v>240</v>
      </c>
      <c r="G171" t="s">
        <v>239</v>
      </c>
      <c r="J171" s="5">
        <v>-25.26</v>
      </c>
      <c r="K171" s="5">
        <v>113.42173333333299</v>
      </c>
      <c r="L171" s="5">
        <v>-25.250116666666649</v>
      </c>
      <c r="M171" s="5">
        <v>113.42224999999999</v>
      </c>
      <c r="N171" s="5">
        <v>-25.2402333333333</v>
      </c>
      <c r="O171" s="5">
        <v>113.422766666667</v>
      </c>
      <c r="R171" s="6">
        <v>16.7</v>
      </c>
      <c r="S171" s="7">
        <v>20</v>
      </c>
    </row>
    <row r="172" spans="1:19" x14ac:dyDescent="0.25">
      <c r="A172" t="s">
        <v>329</v>
      </c>
      <c r="B172" t="s">
        <v>26</v>
      </c>
      <c r="C172" t="s">
        <v>185</v>
      </c>
      <c r="D172" s="4">
        <v>44245</v>
      </c>
      <c r="E172" t="s">
        <v>203</v>
      </c>
      <c r="F172" t="s">
        <v>240</v>
      </c>
      <c r="G172" t="s">
        <v>239</v>
      </c>
      <c r="J172" s="5">
        <v>-25.660799999999998</v>
      </c>
      <c r="K172" s="5">
        <v>113.23779999999999</v>
      </c>
      <c r="L172" s="5">
        <v>-25.65160833333335</v>
      </c>
      <c r="M172" s="5">
        <v>113.2382666666665</v>
      </c>
      <c r="N172" s="5">
        <v>-25.642416666666701</v>
      </c>
      <c r="O172" s="5">
        <v>113.238733333333</v>
      </c>
      <c r="R172" s="6">
        <v>16.399999999999999</v>
      </c>
      <c r="S172" s="7">
        <v>20</v>
      </c>
    </row>
    <row r="173" spans="1:19" x14ac:dyDescent="0.25">
      <c r="A173" t="s">
        <v>329</v>
      </c>
      <c r="B173" t="s">
        <v>26</v>
      </c>
      <c r="C173" t="s">
        <v>186</v>
      </c>
      <c r="D173" s="4">
        <v>44245</v>
      </c>
      <c r="E173" t="s">
        <v>203</v>
      </c>
      <c r="F173" t="s">
        <v>240</v>
      </c>
      <c r="G173" t="s">
        <v>239</v>
      </c>
      <c r="J173" s="5">
        <v>-25.691866666666701</v>
      </c>
      <c r="K173" s="5">
        <v>113.2358</v>
      </c>
      <c r="L173" s="5">
        <v>-25.683058333333349</v>
      </c>
      <c r="M173" s="5">
        <v>113.23465</v>
      </c>
      <c r="N173" s="5">
        <v>-25.674250000000001</v>
      </c>
      <c r="O173" s="5">
        <v>113.23350000000001</v>
      </c>
      <c r="R173" s="6">
        <v>16.7</v>
      </c>
      <c r="S173" s="7">
        <v>20</v>
      </c>
    </row>
    <row r="174" spans="1:19" x14ac:dyDescent="0.25">
      <c r="A174" t="s">
        <v>329</v>
      </c>
      <c r="B174" t="s">
        <v>26</v>
      </c>
      <c r="C174" t="s">
        <v>187</v>
      </c>
      <c r="D174" s="4">
        <v>44246</v>
      </c>
      <c r="E174" t="s">
        <v>203</v>
      </c>
      <c r="F174" t="s">
        <v>240</v>
      </c>
      <c r="G174" t="s">
        <v>239</v>
      </c>
      <c r="J174" s="5">
        <v>-25.597666666666701</v>
      </c>
      <c r="K174" s="5">
        <v>113.107583333333</v>
      </c>
      <c r="L174" s="5">
        <v>-25.589325000000002</v>
      </c>
      <c r="M174" s="5">
        <v>113.102475</v>
      </c>
      <c r="N174" s="5">
        <v>-25.5809833333333</v>
      </c>
      <c r="O174" s="5">
        <v>113.097366666667</v>
      </c>
      <c r="R174" s="6">
        <v>18.5</v>
      </c>
      <c r="S174" s="7">
        <v>20</v>
      </c>
    </row>
    <row r="175" spans="1:19" x14ac:dyDescent="0.25">
      <c r="A175" t="s">
        <v>329</v>
      </c>
      <c r="B175" t="s">
        <v>26</v>
      </c>
      <c r="C175" t="s">
        <v>188</v>
      </c>
      <c r="D175" s="4">
        <v>44246</v>
      </c>
      <c r="E175" t="s">
        <v>203</v>
      </c>
      <c r="F175" t="s">
        <v>240</v>
      </c>
      <c r="G175" t="s">
        <v>239</v>
      </c>
      <c r="J175" s="5">
        <v>-25.578199999999999</v>
      </c>
      <c r="K175" s="5">
        <v>113.063683333333</v>
      </c>
      <c r="L175" s="5">
        <v>-25.584808333333349</v>
      </c>
      <c r="M175" s="5">
        <v>113.070108333333</v>
      </c>
      <c r="N175" s="5">
        <v>-25.591416666666699</v>
      </c>
      <c r="O175" s="5">
        <v>113.076533333333</v>
      </c>
      <c r="R175" s="6">
        <v>14</v>
      </c>
      <c r="S175" s="7">
        <v>20</v>
      </c>
    </row>
    <row r="176" spans="1:19" x14ac:dyDescent="0.25">
      <c r="A176" t="s">
        <v>329</v>
      </c>
      <c r="B176" t="s">
        <v>26</v>
      </c>
      <c r="C176" t="s">
        <v>189</v>
      </c>
      <c r="D176" s="4">
        <v>44246</v>
      </c>
      <c r="E176" t="s">
        <v>203</v>
      </c>
      <c r="F176" t="s">
        <v>240</v>
      </c>
      <c r="G176" t="s">
        <v>239</v>
      </c>
      <c r="J176" s="5">
        <v>-25.572783333333302</v>
      </c>
      <c r="K176" s="5">
        <v>113.201866666667</v>
      </c>
      <c r="L176" s="5">
        <v>-25.562958333333299</v>
      </c>
      <c r="M176" s="5">
        <v>113.20111666666699</v>
      </c>
      <c r="N176" s="5">
        <v>-25.5531333333333</v>
      </c>
      <c r="O176" s="5">
        <v>113.20036666666699</v>
      </c>
      <c r="R176" s="6">
        <v>18</v>
      </c>
      <c r="S176" s="7">
        <v>20</v>
      </c>
    </row>
    <row r="177" spans="1:26" x14ac:dyDescent="0.25">
      <c r="A177" t="s">
        <v>329</v>
      </c>
      <c r="B177" t="s">
        <v>26</v>
      </c>
      <c r="C177" t="s">
        <v>190</v>
      </c>
      <c r="D177" s="4">
        <v>44246</v>
      </c>
      <c r="E177" t="s">
        <v>203</v>
      </c>
      <c r="F177" t="s">
        <v>240</v>
      </c>
      <c r="G177" t="s">
        <v>239</v>
      </c>
      <c r="J177" s="5">
        <v>-25.572783333333302</v>
      </c>
      <c r="K177" s="5">
        <v>113.201866666667</v>
      </c>
      <c r="L177" s="5">
        <v>-25.562958333333299</v>
      </c>
      <c r="M177" s="5">
        <v>113.20111666666699</v>
      </c>
      <c r="N177" s="5">
        <v>-25.5531333333333</v>
      </c>
      <c r="O177" s="5">
        <v>113.20036666666699</v>
      </c>
      <c r="R177" s="6">
        <v>18</v>
      </c>
      <c r="S177" s="7">
        <v>20</v>
      </c>
    </row>
    <row r="178" spans="1:26" x14ac:dyDescent="0.25">
      <c r="A178" t="s">
        <v>329</v>
      </c>
      <c r="B178" t="s">
        <v>26</v>
      </c>
      <c r="C178" t="s">
        <v>191</v>
      </c>
      <c r="D178" s="4">
        <v>44307</v>
      </c>
      <c r="E178" t="s">
        <v>203</v>
      </c>
      <c r="F178" t="s">
        <v>240</v>
      </c>
      <c r="G178" t="s">
        <v>205</v>
      </c>
      <c r="J178" s="5">
        <v>-22.166383330027301</v>
      </c>
      <c r="K178" s="5">
        <v>114.241950003306</v>
      </c>
      <c r="L178" s="5">
        <v>-22.166183328628549</v>
      </c>
      <c r="M178" s="5">
        <v>114.20981667041801</v>
      </c>
      <c r="N178" s="5">
        <v>-22.165983327229799</v>
      </c>
      <c r="O178" s="5">
        <v>114.17768333753</v>
      </c>
      <c r="R178" s="6">
        <v>12.5</v>
      </c>
      <c r="S178" s="7">
        <v>91</v>
      </c>
    </row>
    <row r="179" spans="1:26" x14ac:dyDescent="0.25">
      <c r="A179" t="s">
        <v>329</v>
      </c>
      <c r="B179" t="s">
        <v>26</v>
      </c>
      <c r="C179" t="s">
        <v>192</v>
      </c>
      <c r="D179" s="4">
        <v>44307</v>
      </c>
      <c r="E179" t="s">
        <v>203</v>
      </c>
      <c r="F179" t="s">
        <v>240</v>
      </c>
      <c r="G179" t="s">
        <v>205</v>
      </c>
      <c r="J179" s="5">
        <v>-22.166383330027301</v>
      </c>
      <c r="K179" s="5">
        <v>114.241950003306</v>
      </c>
      <c r="L179" s="5">
        <v>-22.166183328628549</v>
      </c>
      <c r="M179" s="5">
        <v>114.20981667041801</v>
      </c>
      <c r="N179" s="5">
        <v>-22.165983327229799</v>
      </c>
      <c r="O179" s="5">
        <v>114.17768333753</v>
      </c>
      <c r="R179" s="6">
        <v>12.5</v>
      </c>
      <c r="S179" s="7">
        <v>91</v>
      </c>
    </row>
    <row r="180" spans="1:26" x14ac:dyDescent="0.25">
      <c r="A180" t="s">
        <v>329</v>
      </c>
      <c r="B180" t="s">
        <v>26</v>
      </c>
      <c r="C180" t="s">
        <v>193</v>
      </c>
      <c r="D180" s="4">
        <v>44409</v>
      </c>
      <c r="E180" t="s">
        <v>203</v>
      </c>
      <c r="F180" t="s">
        <v>240</v>
      </c>
      <c r="G180" t="s">
        <v>239</v>
      </c>
      <c r="J180" s="5">
        <v>-25.725849978129069</v>
      </c>
      <c r="K180" s="5">
        <v>113.24348333676656</v>
      </c>
      <c r="L180" s="5">
        <v>-25.741183312733966</v>
      </c>
      <c r="M180" s="5">
        <v>113.24379166762034</v>
      </c>
      <c r="N180" s="5">
        <v>-25.756516647338866</v>
      </c>
      <c r="O180" s="5">
        <v>113.24409999847413</v>
      </c>
      <c r="R180" s="6">
        <v>13.6</v>
      </c>
      <c r="S180" s="7">
        <v>30</v>
      </c>
    </row>
    <row r="181" spans="1:26" x14ac:dyDescent="0.25">
      <c r="A181" t="s">
        <v>329</v>
      </c>
      <c r="B181" t="s">
        <v>26</v>
      </c>
      <c r="C181" t="s">
        <v>194</v>
      </c>
      <c r="D181" s="4">
        <v>44410</v>
      </c>
      <c r="E181" t="s">
        <v>203</v>
      </c>
      <c r="F181" t="s">
        <v>240</v>
      </c>
      <c r="G181" t="s">
        <v>239</v>
      </c>
      <c r="J181" s="5">
        <v>-25.558633359273276</v>
      </c>
      <c r="K181" s="5">
        <v>113.05784999926885</v>
      </c>
      <c r="L181" s="5">
        <v>-25.571633338928223</v>
      </c>
      <c r="M181" s="5">
        <v>113.06981666684152</v>
      </c>
      <c r="N181" s="5">
        <v>-25.584633318583169</v>
      </c>
      <c r="O181" s="5">
        <v>113.08178333441417</v>
      </c>
      <c r="R181" s="6">
        <v>13.6</v>
      </c>
      <c r="S181" s="7">
        <v>30</v>
      </c>
    </row>
    <row r="182" spans="1:26" x14ac:dyDescent="0.25">
      <c r="A182" t="s">
        <v>329</v>
      </c>
      <c r="B182" t="s">
        <v>26</v>
      </c>
      <c r="C182" t="s">
        <v>195</v>
      </c>
      <c r="D182" s="4">
        <v>44349</v>
      </c>
      <c r="E182" t="s">
        <v>238</v>
      </c>
      <c r="F182" t="s">
        <v>240</v>
      </c>
      <c r="G182" t="s">
        <v>239</v>
      </c>
      <c r="J182" s="5">
        <v>-25.192766666666667</v>
      </c>
      <c r="K182" s="5">
        <v>113.61613333333334</v>
      </c>
      <c r="L182" s="5">
        <v>-25.200241666666667</v>
      </c>
      <c r="M182" s="5">
        <v>113.62373333333333</v>
      </c>
      <c r="N182" s="5">
        <v>-25.207716666666666</v>
      </c>
      <c r="O182" s="5">
        <v>113.63133333333333</v>
      </c>
      <c r="R182" s="6">
        <v>11.9</v>
      </c>
      <c r="S182" s="7">
        <v>20</v>
      </c>
    </row>
    <row r="183" spans="1:26" x14ac:dyDescent="0.25">
      <c r="A183" t="s">
        <v>329</v>
      </c>
      <c r="B183" t="s">
        <v>26</v>
      </c>
      <c r="C183" t="s">
        <v>196</v>
      </c>
      <c r="D183" s="4">
        <v>44352</v>
      </c>
      <c r="E183" t="s">
        <v>203</v>
      </c>
      <c r="F183" t="s">
        <v>240</v>
      </c>
      <c r="G183" t="s">
        <v>239</v>
      </c>
      <c r="J183" s="5">
        <v>-24.893049999999999</v>
      </c>
      <c r="K183" s="5">
        <v>113.28858333333334</v>
      </c>
      <c r="L183" s="5">
        <v>-24.883575</v>
      </c>
      <c r="M183" s="5">
        <v>113.2867</v>
      </c>
      <c r="N183" s="5">
        <v>-24.874099999999999</v>
      </c>
      <c r="O183" s="5">
        <v>113.28481666666667</v>
      </c>
      <c r="R183" s="6">
        <v>19.899999999999999</v>
      </c>
      <c r="S183" s="7">
        <v>20</v>
      </c>
    </row>
    <row r="184" spans="1:26" x14ac:dyDescent="0.25">
      <c r="A184" t="s">
        <v>329</v>
      </c>
      <c r="B184" t="s">
        <v>26</v>
      </c>
      <c r="C184" t="s">
        <v>197</v>
      </c>
      <c r="D184" s="4">
        <v>44352</v>
      </c>
      <c r="E184" t="s">
        <v>203</v>
      </c>
      <c r="F184" t="s">
        <v>240</v>
      </c>
      <c r="G184" t="s">
        <v>239</v>
      </c>
      <c r="J184" s="5">
        <v>-24.983683333333332</v>
      </c>
      <c r="K184" s="5">
        <v>113.2902</v>
      </c>
      <c r="L184" s="5">
        <v>-24.973683333333334</v>
      </c>
      <c r="M184" s="5">
        <v>113.28863333333334</v>
      </c>
      <c r="N184" s="5">
        <v>-24.963683333333332</v>
      </c>
      <c r="O184" s="5">
        <v>113.28706666666666</v>
      </c>
      <c r="R184" s="6">
        <v>19.600000000000001</v>
      </c>
      <c r="S184" s="7">
        <v>20</v>
      </c>
    </row>
    <row r="185" spans="1:26" x14ac:dyDescent="0.25">
      <c r="A185" t="s">
        <v>329</v>
      </c>
      <c r="B185" t="s">
        <v>26</v>
      </c>
      <c r="C185" t="s">
        <v>198</v>
      </c>
      <c r="D185" s="4">
        <v>44352</v>
      </c>
      <c r="E185" t="s">
        <v>203</v>
      </c>
      <c r="F185" t="s">
        <v>240</v>
      </c>
      <c r="G185" t="s">
        <v>239</v>
      </c>
      <c r="J185" s="5">
        <v>-25.073266666666665</v>
      </c>
      <c r="K185" s="5">
        <v>113.28543333333333</v>
      </c>
      <c r="L185" s="5">
        <v>-25.062816666666667</v>
      </c>
      <c r="M185" s="5">
        <v>113.28410833333334</v>
      </c>
      <c r="N185" s="5">
        <v>-25.052366666666668</v>
      </c>
      <c r="O185" s="5">
        <v>113.28278333333333</v>
      </c>
      <c r="R185" s="6">
        <v>17.600000000000001</v>
      </c>
      <c r="S185" s="7">
        <v>20</v>
      </c>
    </row>
    <row r="186" spans="1:26" x14ac:dyDescent="0.25">
      <c r="A186" t="s">
        <v>329</v>
      </c>
      <c r="B186" t="s">
        <v>26</v>
      </c>
      <c r="C186" t="s">
        <v>199</v>
      </c>
      <c r="D186" s="4">
        <v>44353</v>
      </c>
      <c r="E186" t="s">
        <v>203</v>
      </c>
      <c r="F186" t="s">
        <v>240</v>
      </c>
      <c r="G186" t="s">
        <v>239</v>
      </c>
      <c r="J186" s="5">
        <v>-25.554333333333332</v>
      </c>
      <c r="K186" s="5">
        <v>113.20258333333334</v>
      </c>
      <c r="L186" s="5">
        <v>-25.563941666666665</v>
      </c>
      <c r="M186" s="5">
        <v>113.20234166666667</v>
      </c>
      <c r="N186" s="5">
        <v>-25.573550000000001</v>
      </c>
      <c r="O186" s="5">
        <v>113.2021</v>
      </c>
      <c r="R186" s="6">
        <v>18</v>
      </c>
      <c r="S186" s="7">
        <v>20</v>
      </c>
    </row>
    <row r="187" spans="1:26" x14ac:dyDescent="0.25">
      <c r="A187" t="s">
        <v>329</v>
      </c>
      <c r="B187" t="s">
        <v>26</v>
      </c>
      <c r="C187" t="s">
        <v>200</v>
      </c>
      <c r="D187" s="4">
        <v>44502</v>
      </c>
      <c r="E187" t="s">
        <v>203</v>
      </c>
      <c r="F187" t="s">
        <v>240</v>
      </c>
      <c r="G187" t="s">
        <v>239</v>
      </c>
      <c r="J187" s="5">
        <v>-25.443166666666666</v>
      </c>
      <c r="K187" s="5">
        <v>113.37523333333333</v>
      </c>
      <c r="L187" s="5">
        <v>-25.433958333333333</v>
      </c>
      <c r="M187" s="5">
        <v>113.37823333333333</v>
      </c>
      <c r="N187" s="5">
        <v>-25.42475</v>
      </c>
      <c r="O187" s="5">
        <v>113.38123333333333</v>
      </c>
      <c r="R187" s="6">
        <v>14.6</v>
      </c>
      <c r="S187" s="7">
        <v>20</v>
      </c>
    </row>
    <row r="188" spans="1:26" x14ac:dyDescent="0.25">
      <c r="A188" t="s">
        <v>329</v>
      </c>
      <c r="B188" t="s">
        <v>26</v>
      </c>
      <c r="C188" t="s">
        <v>201</v>
      </c>
      <c r="D188" s="4">
        <v>44502</v>
      </c>
      <c r="E188" t="s">
        <v>203</v>
      </c>
      <c r="F188" t="s">
        <v>240</v>
      </c>
      <c r="G188" t="s">
        <v>239</v>
      </c>
      <c r="J188" s="5">
        <v>-25.353733333333334</v>
      </c>
      <c r="K188" s="5">
        <v>113.44231666666667</v>
      </c>
      <c r="L188" s="5">
        <v>-25.34395</v>
      </c>
      <c r="M188" s="5">
        <v>113.44223333333333</v>
      </c>
      <c r="N188" s="5">
        <v>-25.334166666666668</v>
      </c>
      <c r="O188" s="5">
        <v>113.44215</v>
      </c>
      <c r="R188" s="6">
        <v>14.3</v>
      </c>
      <c r="S188" s="7">
        <v>20</v>
      </c>
    </row>
    <row r="189" spans="1:26" x14ac:dyDescent="0.25">
      <c r="A189" t="s">
        <v>477</v>
      </c>
      <c r="B189" t="s">
        <v>26</v>
      </c>
      <c r="C189" t="s">
        <v>245</v>
      </c>
      <c r="D189" s="4">
        <v>45446</v>
      </c>
      <c r="E189" t="s">
        <v>203</v>
      </c>
      <c r="F189" t="s">
        <v>240</v>
      </c>
      <c r="G189" t="s">
        <v>239</v>
      </c>
      <c r="J189" s="5">
        <v>-25.256032999999999</v>
      </c>
      <c r="K189" s="5">
        <v>113.41115000000001</v>
      </c>
      <c r="L189" s="5">
        <v>-25.247050000000002</v>
      </c>
      <c r="M189" s="5">
        <v>113.41004150000001</v>
      </c>
      <c r="N189" s="5">
        <v>-25.238067000000001</v>
      </c>
      <c r="O189" s="5">
        <v>113.408933</v>
      </c>
      <c r="P189" s="5">
        <v>-25.322417000000002</v>
      </c>
      <c r="Q189" s="5">
        <v>113.40115</v>
      </c>
      <c r="S189" s="7">
        <v>20</v>
      </c>
      <c r="T189" s="9" t="s">
        <v>253</v>
      </c>
      <c r="U189" s="8">
        <v>1045</v>
      </c>
      <c r="V189" s="8">
        <v>100</v>
      </c>
      <c r="W189" s="8">
        <v>12</v>
      </c>
      <c r="X189" s="10">
        <v>989002028399618</v>
      </c>
    </row>
    <row r="190" spans="1:26" x14ac:dyDescent="0.25">
      <c r="A190" t="s">
        <v>477</v>
      </c>
      <c r="B190" t="s">
        <v>26</v>
      </c>
      <c r="C190" t="s">
        <v>246</v>
      </c>
      <c r="D190" s="4">
        <v>45448</v>
      </c>
      <c r="E190" t="s">
        <v>203</v>
      </c>
      <c r="F190" t="s">
        <v>240</v>
      </c>
      <c r="G190" t="s">
        <v>239</v>
      </c>
      <c r="J190" s="5">
        <v>-25.6328</v>
      </c>
      <c r="K190" s="5">
        <v>113.164017</v>
      </c>
      <c r="L190" s="5">
        <v>-25.623424999999997</v>
      </c>
      <c r="M190" s="5">
        <v>113.16310849999999</v>
      </c>
      <c r="N190" s="5">
        <v>-25.614049999999999</v>
      </c>
      <c r="O190" s="5">
        <v>113.1622</v>
      </c>
      <c r="P190" s="5">
        <v>-25.646217</v>
      </c>
      <c r="Q190" s="5">
        <v>113.13885000000001</v>
      </c>
      <c r="S190" s="7">
        <v>20</v>
      </c>
      <c r="T190" s="9" t="s">
        <v>254</v>
      </c>
      <c r="U190" s="8">
        <v>590</v>
      </c>
      <c r="V190" s="8">
        <v>74.5</v>
      </c>
      <c r="W190" s="8">
        <v>9</v>
      </c>
      <c r="X190" s="10">
        <v>989002028399677</v>
      </c>
    </row>
    <row r="191" spans="1:26" x14ac:dyDescent="0.25">
      <c r="A191" t="s">
        <v>477</v>
      </c>
      <c r="B191" t="s">
        <v>26</v>
      </c>
      <c r="C191" t="s">
        <v>247</v>
      </c>
      <c r="D191" s="4">
        <v>45448</v>
      </c>
      <c r="E191" t="s">
        <v>203</v>
      </c>
      <c r="F191" t="s">
        <v>240</v>
      </c>
      <c r="G191" t="s">
        <v>239</v>
      </c>
      <c r="J191" s="5">
        <v>-25.6328</v>
      </c>
      <c r="K191" s="5">
        <v>113.164017</v>
      </c>
      <c r="L191" s="5">
        <v>-25.623424999999997</v>
      </c>
      <c r="M191" s="5">
        <v>113.16310849999999</v>
      </c>
      <c r="N191" s="5">
        <v>-25.614049999999999</v>
      </c>
      <c r="O191" s="5">
        <v>113.1622</v>
      </c>
      <c r="S191" s="7">
        <v>20</v>
      </c>
      <c r="T191" s="9" t="s">
        <v>253</v>
      </c>
      <c r="U191" s="8">
        <v>510</v>
      </c>
      <c r="V191" s="8">
        <v>85</v>
      </c>
      <c r="W191" s="8">
        <v>14</v>
      </c>
      <c r="X191" s="10"/>
      <c r="Z191" t="s">
        <v>252</v>
      </c>
    </row>
    <row r="192" spans="1:26" x14ac:dyDescent="0.25">
      <c r="A192" t="s">
        <v>477</v>
      </c>
      <c r="B192" t="s">
        <v>26</v>
      </c>
      <c r="C192" t="s">
        <v>248</v>
      </c>
      <c r="D192" s="4">
        <v>45448</v>
      </c>
      <c r="E192" t="s">
        <v>203</v>
      </c>
      <c r="F192" t="s">
        <v>240</v>
      </c>
      <c r="G192" t="s">
        <v>239</v>
      </c>
      <c r="J192" s="5">
        <v>-25.607917</v>
      </c>
      <c r="K192" s="5">
        <v>113.21225</v>
      </c>
      <c r="L192" s="5">
        <v>-25.598558500000003</v>
      </c>
      <c r="M192" s="5">
        <v>113.2126165</v>
      </c>
      <c r="N192" s="5">
        <v>-25.589200000000002</v>
      </c>
      <c r="O192" s="5">
        <v>113.21298299999999</v>
      </c>
      <c r="P192" s="5">
        <v>-25.583950000000002</v>
      </c>
      <c r="Q192" s="5">
        <v>113.223033</v>
      </c>
      <c r="S192" s="7">
        <v>20</v>
      </c>
      <c r="T192" s="9" t="s">
        <v>253</v>
      </c>
      <c r="U192" s="8">
        <v>640</v>
      </c>
      <c r="V192" s="8">
        <v>83.5</v>
      </c>
      <c r="W192" s="8">
        <v>9</v>
      </c>
      <c r="X192" s="10">
        <v>989002028399697</v>
      </c>
    </row>
    <row r="193" spans="1:26" x14ac:dyDescent="0.25">
      <c r="A193" t="s">
        <v>477</v>
      </c>
      <c r="B193" t="s">
        <v>26</v>
      </c>
      <c r="C193" t="s">
        <v>249</v>
      </c>
      <c r="D193" s="4">
        <v>45449</v>
      </c>
      <c r="E193" t="s">
        <v>203</v>
      </c>
      <c r="F193" t="s">
        <v>240</v>
      </c>
      <c r="G193" t="s">
        <v>239</v>
      </c>
      <c r="J193" s="5">
        <v>-25.029717000000002</v>
      </c>
      <c r="K193" s="5">
        <v>113.336333</v>
      </c>
      <c r="L193" s="5">
        <v>-25.020975</v>
      </c>
      <c r="M193" s="5">
        <v>113.336883</v>
      </c>
      <c r="N193" s="5">
        <v>-25.012232999999998</v>
      </c>
      <c r="O193" s="5">
        <v>113.337433</v>
      </c>
      <c r="P193" s="5">
        <v>-24.985316999999998</v>
      </c>
      <c r="Q193" s="5">
        <v>113.2881</v>
      </c>
      <c r="S193" s="7">
        <v>20</v>
      </c>
      <c r="T193" s="9" t="s">
        <v>253</v>
      </c>
      <c r="U193" s="8">
        <v>850</v>
      </c>
      <c r="V193" s="8">
        <v>93.5</v>
      </c>
      <c r="W193" s="8">
        <v>11</v>
      </c>
      <c r="X193" s="10">
        <v>989002028399674</v>
      </c>
    </row>
    <row r="194" spans="1:26" x14ac:dyDescent="0.25">
      <c r="A194" t="s">
        <v>477</v>
      </c>
      <c r="B194" t="s">
        <v>26</v>
      </c>
      <c r="C194" t="s">
        <v>250</v>
      </c>
      <c r="D194" s="4">
        <v>45450</v>
      </c>
      <c r="E194" t="s">
        <v>203</v>
      </c>
      <c r="F194" t="s">
        <v>240</v>
      </c>
      <c r="G194" t="s">
        <v>239</v>
      </c>
      <c r="J194" s="5">
        <v>-24.916982999999998</v>
      </c>
      <c r="K194" s="5">
        <v>113.2714</v>
      </c>
      <c r="L194" s="5">
        <v>-24.926183000000002</v>
      </c>
      <c r="M194" s="5">
        <v>113.27118350000001</v>
      </c>
      <c r="N194" s="5">
        <v>-24.935383000000002</v>
      </c>
      <c r="O194" s="5">
        <v>113.270967</v>
      </c>
      <c r="P194" s="5">
        <v>-24.964983</v>
      </c>
      <c r="Q194" s="5">
        <v>113.222533</v>
      </c>
      <c r="S194" s="7">
        <v>20</v>
      </c>
      <c r="T194" s="9" t="s">
        <v>254</v>
      </c>
      <c r="U194" s="8">
        <v>485</v>
      </c>
      <c r="V194" s="8">
        <v>71</v>
      </c>
      <c r="W194" s="8">
        <v>8</v>
      </c>
      <c r="X194" s="10">
        <v>989002028399633</v>
      </c>
    </row>
    <row r="195" spans="1:26" x14ac:dyDescent="0.25">
      <c r="A195" t="s">
        <v>477</v>
      </c>
      <c r="B195" t="s">
        <v>26</v>
      </c>
      <c r="C195" t="s">
        <v>251</v>
      </c>
      <c r="D195" s="4">
        <v>45450</v>
      </c>
      <c r="E195" t="s">
        <v>203</v>
      </c>
      <c r="F195" t="s">
        <v>240</v>
      </c>
      <c r="G195" t="s">
        <v>239</v>
      </c>
      <c r="J195" s="5">
        <v>-24.971</v>
      </c>
      <c r="K195" s="5">
        <v>113.19275</v>
      </c>
      <c r="L195" s="5">
        <v>-24.9617915</v>
      </c>
      <c r="M195" s="5">
        <v>113.19454999999999</v>
      </c>
      <c r="N195" s="5">
        <v>-24.952583000000001</v>
      </c>
      <c r="O195" s="5">
        <v>113.19635</v>
      </c>
      <c r="P195" s="5">
        <v>-24.908249999999999</v>
      </c>
      <c r="Q195" s="5">
        <v>113.222133</v>
      </c>
      <c r="S195" s="7">
        <v>20</v>
      </c>
      <c r="T195" s="9" t="s">
        <v>253</v>
      </c>
      <c r="U195" s="8">
        <v>820</v>
      </c>
      <c r="V195" s="8">
        <v>98</v>
      </c>
      <c r="W195" s="8">
        <v>11.2</v>
      </c>
      <c r="X195" s="10">
        <v>989002028399658</v>
      </c>
    </row>
    <row r="196" spans="1:26" x14ac:dyDescent="0.25">
      <c r="A196" t="s">
        <v>477</v>
      </c>
      <c r="B196" t="s">
        <v>26</v>
      </c>
      <c r="C196" s="9" t="s">
        <v>256</v>
      </c>
      <c r="D196" s="4">
        <v>45560</v>
      </c>
      <c r="E196" t="s">
        <v>203</v>
      </c>
      <c r="F196" t="s">
        <v>204</v>
      </c>
      <c r="G196" t="s">
        <v>205</v>
      </c>
      <c r="J196" s="5">
        <v>-22.065366999999998</v>
      </c>
      <c r="K196" s="5">
        <v>114.320033</v>
      </c>
      <c r="L196" s="5">
        <v>-22.004824999999997</v>
      </c>
      <c r="M196" s="5">
        <v>114.357258</v>
      </c>
      <c r="N196" s="5">
        <v>-21.944282999999999</v>
      </c>
      <c r="O196" s="5">
        <v>114.39448299999999</v>
      </c>
      <c r="R196" s="6">
        <v>12.85</v>
      </c>
      <c r="S196" s="7">
        <v>150</v>
      </c>
      <c r="T196" s="9" t="s">
        <v>253</v>
      </c>
      <c r="U196" s="8">
        <v>318</v>
      </c>
      <c r="X196" s="7">
        <v>989002028399616</v>
      </c>
    </row>
    <row r="197" spans="1:26" x14ac:dyDescent="0.25">
      <c r="A197" t="s">
        <v>477</v>
      </c>
      <c r="B197" t="s">
        <v>26</v>
      </c>
      <c r="C197" t="s">
        <v>257</v>
      </c>
      <c r="D197" s="4">
        <v>45618</v>
      </c>
      <c r="E197" t="s">
        <v>203</v>
      </c>
      <c r="F197" t="s">
        <v>240</v>
      </c>
      <c r="G197" t="s">
        <v>239</v>
      </c>
      <c r="J197" s="5">
        <v>-25.444467</v>
      </c>
      <c r="K197" s="5">
        <v>113.587767</v>
      </c>
      <c r="L197" s="5">
        <v>-25.453008499999999</v>
      </c>
      <c r="M197" s="5">
        <v>113.59160850000001</v>
      </c>
      <c r="N197" s="5">
        <v>-25.461549999999999</v>
      </c>
      <c r="O197" s="5">
        <v>113.59545</v>
      </c>
      <c r="R197" s="6">
        <v>16.2</v>
      </c>
      <c r="S197" s="7">
        <v>20</v>
      </c>
      <c r="T197" t="s">
        <v>270</v>
      </c>
      <c r="U197" s="8">
        <v>565</v>
      </c>
      <c r="V197" s="8">
        <v>72</v>
      </c>
      <c r="W197" s="8">
        <v>7</v>
      </c>
      <c r="X197" s="7">
        <v>989002028400654</v>
      </c>
      <c r="Z197" t="s">
        <v>271</v>
      </c>
    </row>
    <row r="198" spans="1:26" x14ac:dyDescent="0.25">
      <c r="A198" t="s">
        <v>477</v>
      </c>
      <c r="B198" t="s">
        <v>26</v>
      </c>
      <c r="C198" t="s">
        <v>258</v>
      </c>
      <c r="D198" s="4">
        <v>45623</v>
      </c>
      <c r="E198" t="s">
        <v>203</v>
      </c>
      <c r="F198" t="s">
        <v>240</v>
      </c>
      <c r="G198" t="s">
        <v>239</v>
      </c>
      <c r="J198" s="5">
        <v>-25.705266999999999</v>
      </c>
      <c r="K198" s="5">
        <v>113.149933</v>
      </c>
      <c r="L198" s="5">
        <v>-25.696483499999999</v>
      </c>
      <c r="M198" s="5">
        <v>113.15164150000001</v>
      </c>
      <c r="N198" s="5">
        <v>-25.6877</v>
      </c>
      <c r="O198" s="5">
        <v>113.15335</v>
      </c>
      <c r="R198" s="6">
        <v>21.6</v>
      </c>
      <c r="S198" s="7">
        <v>20</v>
      </c>
      <c r="T198" t="s">
        <v>253</v>
      </c>
      <c r="U198" s="8">
        <v>1090</v>
      </c>
      <c r="V198" s="8">
        <v>105</v>
      </c>
      <c r="W198" s="8">
        <v>12.5</v>
      </c>
      <c r="X198" s="7">
        <v>989002028400697</v>
      </c>
      <c r="Z198" t="s">
        <v>272</v>
      </c>
    </row>
    <row r="199" spans="1:26" x14ac:dyDescent="0.25">
      <c r="A199" t="s">
        <v>477</v>
      </c>
      <c r="B199" t="s">
        <v>26</v>
      </c>
      <c r="C199" t="s">
        <v>259</v>
      </c>
      <c r="D199" s="4">
        <v>45625</v>
      </c>
      <c r="E199" t="s">
        <v>203</v>
      </c>
      <c r="F199" t="s">
        <v>240</v>
      </c>
      <c r="G199" t="s">
        <v>239</v>
      </c>
      <c r="J199" s="5">
        <v>-25.581382999999999</v>
      </c>
      <c r="K199" s="5">
        <v>113.22295</v>
      </c>
      <c r="L199" s="5">
        <v>-25.57255</v>
      </c>
      <c r="M199" s="5">
        <v>113.2212835</v>
      </c>
      <c r="N199" s="5">
        <v>-25.563717</v>
      </c>
      <c r="O199" s="5">
        <v>113.219617</v>
      </c>
      <c r="R199" s="6">
        <v>18.8</v>
      </c>
      <c r="S199" s="7">
        <v>20</v>
      </c>
      <c r="T199" t="s">
        <v>253</v>
      </c>
      <c r="U199" s="8">
        <v>930</v>
      </c>
      <c r="V199" s="8">
        <v>100</v>
      </c>
      <c r="W199" s="8">
        <v>13.3</v>
      </c>
      <c r="X199" s="7">
        <v>989002028400698</v>
      </c>
      <c r="Z199" t="s">
        <v>273</v>
      </c>
    </row>
    <row r="200" spans="1:26" x14ac:dyDescent="0.25">
      <c r="A200" t="s">
        <v>477</v>
      </c>
      <c r="B200" t="s">
        <v>26</v>
      </c>
      <c r="C200" t="s">
        <v>260</v>
      </c>
      <c r="D200" s="4">
        <v>45625</v>
      </c>
      <c r="E200" t="s">
        <v>203</v>
      </c>
      <c r="F200" t="s">
        <v>240</v>
      </c>
      <c r="G200" t="s">
        <v>239</v>
      </c>
      <c r="J200" s="5">
        <v>-25.486567000000001</v>
      </c>
      <c r="K200" s="5">
        <v>113.40863299999999</v>
      </c>
      <c r="L200" s="5">
        <v>-25.478733500000001</v>
      </c>
      <c r="M200" s="5">
        <v>113.4141415</v>
      </c>
      <c r="N200" s="5">
        <v>-25.4709</v>
      </c>
      <c r="O200" s="5">
        <v>113.41965</v>
      </c>
      <c r="R200" s="6">
        <v>19.350000000000001</v>
      </c>
      <c r="S200" s="7">
        <v>20</v>
      </c>
      <c r="T200" t="s">
        <v>270</v>
      </c>
      <c r="U200" s="8">
        <v>600</v>
      </c>
      <c r="V200" s="8">
        <v>85</v>
      </c>
      <c r="W200" s="8">
        <v>10.199999999999999</v>
      </c>
      <c r="X200" s="7">
        <v>989002028400655</v>
      </c>
      <c r="Z200" t="s">
        <v>274</v>
      </c>
    </row>
    <row r="201" spans="1:26" x14ac:dyDescent="0.25">
      <c r="A201" t="s">
        <v>477</v>
      </c>
      <c r="B201" t="s">
        <v>26</v>
      </c>
      <c r="C201" t="s">
        <v>261</v>
      </c>
      <c r="D201" s="4">
        <v>45625</v>
      </c>
      <c r="E201" t="s">
        <v>203</v>
      </c>
      <c r="F201" t="s">
        <v>240</v>
      </c>
      <c r="G201" t="s">
        <v>239</v>
      </c>
      <c r="J201" s="5">
        <v>-25.4</v>
      </c>
      <c r="K201" s="5">
        <v>113.41055</v>
      </c>
      <c r="L201" s="5">
        <v>-25.39095</v>
      </c>
      <c r="M201" s="5">
        <v>113.41236649999999</v>
      </c>
      <c r="N201" s="5">
        <v>-25.381900000000002</v>
      </c>
      <c r="O201" s="5">
        <v>113.41418299999999</v>
      </c>
      <c r="R201" s="6">
        <v>15.7</v>
      </c>
      <c r="S201" s="7">
        <v>20</v>
      </c>
      <c r="T201" t="s">
        <v>253</v>
      </c>
      <c r="U201" s="8">
        <v>900</v>
      </c>
      <c r="V201" s="8">
        <v>92.5</v>
      </c>
      <c r="W201" s="8">
        <v>10.6</v>
      </c>
      <c r="X201" s="7">
        <v>989002028400610</v>
      </c>
      <c r="Z201" t="s">
        <v>275</v>
      </c>
    </row>
    <row r="202" spans="1:26" x14ac:dyDescent="0.25">
      <c r="A202" t="s">
        <v>477</v>
      </c>
      <c r="B202" t="s">
        <v>26</v>
      </c>
      <c r="C202" t="s">
        <v>262</v>
      </c>
      <c r="D202" s="4">
        <v>45626</v>
      </c>
      <c r="E202" t="s">
        <v>203</v>
      </c>
      <c r="F202" t="s">
        <v>240</v>
      </c>
      <c r="G202" t="s">
        <v>239</v>
      </c>
      <c r="J202" s="5">
        <v>-25.400932999999998</v>
      </c>
      <c r="K202" s="5">
        <v>113.43859999999999</v>
      </c>
      <c r="L202" s="5">
        <v>-25.391632999999999</v>
      </c>
      <c r="M202" s="5">
        <v>113.43947499999999</v>
      </c>
      <c r="N202" s="5">
        <v>-25.382332999999999</v>
      </c>
      <c r="O202" s="5">
        <v>113.44035</v>
      </c>
      <c r="R202" s="6">
        <v>17.95</v>
      </c>
      <c r="S202" s="7">
        <v>20</v>
      </c>
      <c r="T202" t="s">
        <v>253</v>
      </c>
      <c r="U202" s="8">
        <v>730</v>
      </c>
      <c r="V202" s="8">
        <v>92</v>
      </c>
      <c r="W202" s="8">
        <v>10</v>
      </c>
      <c r="X202" s="7">
        <v>989002028400620</v>
      </c>
      <c r="Z202" t="s">
        <v>276</v>
      </c>
    </row>
    <row r="203" spans="1:26" x14ac:dyDescent="0.25">
      <c r="A203" t="s">
        <v>477</v>
      </c>
      <c r="B203" t="s">
        <v>26</v>
      </c>
      <c r="C203" t="s">
        <v>263</v>
      </c>
      <c r="D203" s="4">
        <v>45626</v>
      </c>
      <c r="E203" t="s">
        <v>203</v>
      </c>
      <c r="F203" t="s">
        <v>240</v>
      </c>
      <c r="G203" t="s">
        <v>239</v>
      </c>
      <c r="J203" s="5">
        <v>-25.25825</v>
      </c>
      <c r="K203" s="5">
        <v>113.44945</v>
      </c>
      <c r="L203" s="5">
        <v>-25.248708499999999</v>
      </c>
      <c r="M203" s="5">
        <v>113.449675</v>
      </c>
      <c r="N203" s="5">
        <v>-25.239166999999998</v>
      </c>
      <c r="O203" s="5">
        <v>113.4499</v>
      </c>
      <c r="P203" s="5">
        <v>-25.261333</v>
      </c>
      <c r="Q203" s="5">
        <v>113.415983</v>
      </c>
      <c r="R203" s="6">
        <v>19.149999999999999</v>
      </c>
      <c r="S203" s="7">
        <v>20</v>
      </c>
      <c r="T203" t="s">
        <v>253</v>
      </c>
      <c r="U203" s="8">
        <v>795</v>
      </c>
      <c r="V203" s="8">
        <v>102</v>
      </c>
      <c r="W203" s="8">
        <v>12.2</v>
      </c>
      <c r="X203" s="7">
        <v>989002028400703</v>
      </c>
      <c r="Z203" t="s">
        <v>277</v>
      </c>
    </row>
    <row r="204" spans="1:26" x14ac:dyDescent="0.25">
      <c r="A204" t="s">
        <v>477</v>
      </c>
      <c r="B204" t="s">
        <v>26</v>
      </c>
      <c r="C204" t="s">
        <v>264</v>
      </c>
      <c r="D204" s="4">
        <v>45628</v>
      </c>
      <c r="E204" t="s">
        <v>203</v>
      </c>
      <c r="F204" t="s">
        <v>240</v>
      </c>
      <c r="G204" t="s">
        <v>239</v>
      </c>
      <c r="J204" s="5">
        <v>-24.940033</v>
      </c>
      <c r="K204" s="5">
        <v>113.297383</v>
      </c>
      <c r="L204" s="5">
        <v>-24.930208</v>
      </c>
      <c r="M204" s="5">
        <v>113.29775000000001</v>
      </c>
      <c r="N204" s="5">
        <v>-24.920383000000001</v>
      </c>
      <c r="O204" s="5">
        <v>113.298117</v>
      </c>
      <c r="R204" s="6">
        <v>24.2</v>
      </c>
      <c r="S204" s="7">
        <v>20</v>
      </c>
      <c r="T204" t="s">
        <v>270</v>
      </c>
      <c r="U204" s="8">
        <v>775</v>
      </c>
      <c r="V204" s="8">
        <v>87</v>
      </c>
      <c r="W204" s="8">
        <v>10.4</v>
      </c>
      <c r="X204" s="7">
        <v>989002028400625</v>
      </c>
      <c r="Z204" t="s">
        <v>278</v>
      </c>
    </row>
    <row r="205" spans="1:26" x14ac:dyDescent="0.25">
      <c r="A205" t="s">
        <v>477</v>
      </c>
      <c r="B205" t="s">
        <v>26</v>
      </c>
      <c r="C205" t="s">
        <v>265</v>
      </c>
      <c r="D205" s="4">
        <v>45629</v>
      </c>
      <c r="E205" t="s">
        <v>203</v>
      </c>
      <c r="F205" t="s">
        <v>240</v>
      </c>
      <c r="G205" t="s">
        <v>239</v>
      </c>
      <c r="J205" s="5">
        <v>-24.935766999999998</v>
      </c>
      <c r="K205" s="5">
        <v>113.27105</v>
      </c>
      <c r="L205" s="5">
        <v>-24.926408500000001</v>
      </c>
      <c r="M205" s="5">
        <v>113.27085</v>
      </c>
      <c r="N205" s="5">
        <v>-24.91705</v>
      </c>
      <c r="O205" s="5">
        <v>113.27065</v>
      </c>
      <c r="P205" s="5">
        <v>-24.889717000000001</v>
      </c>
      <c r="Q205" s="5">
        <v>113.275633</v>
      </c>
      <c r="R205" s="6">
        <v>22</v>
      </c>
      <c r="S205" s="7">
        <v>20</v>
      </c>
      <c r="T205" t="s">
        <v>253</v>
      </c>
      <c r="U205" s="8">
        <v>815</v>
      </c>
      <c r="V205" s="8">
        <v>92.7</v>
      </c>
      <c r="W205" s="8">
        <v>13</v>
      </c>
      <c r="X205" s="7">
        <v>989002028400607</v>
      </c>
      <c r="Z205" t="s">
        <v>279</v>
      </c>
    </row>
    <row r="206" spans="1:26" x14ac:dyDescent="0.25">
      <c r="A206" t="s">
        <v>477</v>
      </c>
      <c r="B206" t="s">
        <v>26</v>
      </c>
      <c r="C206" t="s">
        <v>266</v>
      </c>
      <c r="D206" s="4">
        <v>45629</v>
      </c>
      <c r="E206" t="s">
        <v>203</v>
      </c>
      <c r="F206" t="s">
        <v>240</v>
      </c>
      <c r="G206" t="s">
        <v>239</v>
      </c>
      <c r="H206" s="5">
        <v>-24.931383</v>
      </c>
      <c r="I206" s="5">
        <v>113.249217</v>
      </c>
      <c r="S206" s="7">
        <v>20</v>
      </c>
      <c r="T206" t="s">
        <v>254</v>
      </c>
      <c r="V206" s="8">
        <v>79.5</v>
      </c>
      <c r="W206" s="8">
        <v>8</v>
      </c>
      <c r="Z206" t="s">
        <v>283</v>
      </c>
    </row>
    <row r="207" spans="1:26" x14ac:dyDescent="0.25">
      <c r="A207" t="s">
        <v>477</v>
      </c>
      <c r="B207" t="s">
        <v>26</v>
      </c>
      <c r="C207" t="s">
        <v>267</v>
      </c>
      <c r="D207" s="4">
        <v>45629</v>
      </c>
      <c r="E207" t="s">
        <v>203</v>
      </c>
      <c r="F207" t="s">
        <v>240</v>
      </c>
      <c r="G207" t="s">
        <v>239</v>
      </c>
      <c r="J207" s="5">
        <v>-24.972249999999999</v>
      </c>
      <c r="K207" s="5">
        <v>113.194067</v>
      </c>
      <c r="L207" s="5">
        <v>-24.963249999999999</v>
      </c>
      <c r="M207" s="5">
        <v>113.19515850000001</v>
      </c>
      <c r="N207" s="5">
        <v>-24.954249999999998</v>
      </c>
      <c r="O207" s="5">
        <v>113.19625000000001</v>
      </c>
      <c r="R207" s="6">
        <v>19.299999999999997</v>
      </c>
      <c r="S207" s="7">
        <v>20</v>
      </c>
      <c r="T207" t="s">
        <v>253</v>
      </c>
      <c r="U207" s="8">
        <v>790</v>
      </c>
      <c r="V207" s="8">
        <v>93.5</v>
      </c>
      <c r="W207" s="8">
        <v>10</v>
      </c>
      <c r="X207" s="7">
        <v>989002028400665</v>
      </c>
      <c r="Z207" t="s">
        <v>280</v>
      </c>
    </row>
    <row r="208" spans="1:26" x14ac:dyDescent="0.25">
      <c r="A208" t="s">
        <v>477</v>
      </c>
      <c r="B208" t="s">
        <v>26</v>
      </c>
      <c r="C208" t="s">
        <v>268</v>
      </c>
      <c r="D208" s="4">
        <v>45629</v>
      </c>
      <c r="E208" t="s">
        <v>203</v>
      </c>
      <c r="F208" t="s">
        <v>240</v>
      </c>
      <c r="G208" t="s">
        <v>239</v>
      </c>
      <c r="J208" s="5">
        <v>-24.807417000000001</v>
      </c>
      <c r="K208" s="5">
        <v>113.23609999999999</v>
      </c>
      <c r="L208" s="5">
        <v>-24.797667000000001</v>
      </c>
      <c r="M208" s="5">
        <v>113.23560000000001</v>
      </c>
      <c r="N208" s="5">
        <v>-24.787917</v>
      </c>
      <c r="O208" s="5">
        <v>113.2351</v>
      </c>
      <c r="P208" s="5">
        <v>-24.795583000000001</v>
      </c>
      <c r="Q208" s="5">
        <v>113.272133</v>
      </c>
      <c r="R208" s="6">
        <v>25.15</v>
      </c>
      <c r="S208" s="7">
        <v>20</v>
      </c>
      <c r="T208" t="s">
        <v>253</v>
      </c>
      <c r="U208" s="8">
        <v>540</v>
      </c>
      <c r="V208" s="8">
        <v>97</v>
      </c>
      <c r="W208" s="8">
        <v>12.5</v>
      </c>
      <c r="X208" s="7">
        <v>989002028400689</v>
      </c>
      <c r="Z208" t="s">
        <v>281</v>
      </c>
    </row>
    <row r="209" spans="1:26" x14ac:dyDescent="0.25">
      <c r="A209" t="s">
        <v>477</v>
      </c>
      <c r="B209" t="s">
        <v>26</v>
      </c>
      <c r="C209" t="s">
        <v>269</v>
      </c>
      <c r="D209" s="4">
        <v>45630</v>
      </c>
      <c r="E209" t="s">
        <v>203</v>
      </c>
      <c r="F209" t="s">
        <v>240</v>
      </c>
      <c r="G209" t="s">
        <v>239</v>
      </c>
      <c r="J209" s="5">
        <v>-24.83155</v>
      </c>
      <c r="K209" s="5">
        <v>113.36499999999999</v>
      </c>
      <c r="L209" s="5">
        <v>-24.821899999999999</v>
      </c>
      <c r="M209" s="5">
        <v>113.36404999999999</v>
      </c>
      <c r="N209" s="5">
        <v>-24.812249999999999</v>
      </c>
      <c r="O209" s="5">
        <v>113.3631</v>
      </c>
      <c r="P209" s="5">
        <v>-24.784849999999999</v>
      </c>
      <c r="Q209" s="5">
        <v>113.35375000000001</v>
      </c>
      <c r="R209" s="6">
        <v>20.45</v>
      </c>
      <c r="S209" s="7">
        <v>20</v>
      </c>
      <c r="T209" t="s">
        <v>253</v>
      </c>
      <c r="U209" s="8">
        <v>595</v>
      </c>
      <c r="V209" s="8">
        <v>78</v>
      </c>
      <c r="W209" s="8">
        <v>19</v>
      </c>
      <c r="X209" s="7">
        <v>989002028400659</v>
      </c>
      <c r="Z209" t="s">
        <v>282</v>
      </c>
    </row>
    <row r="210" spans="1:26" x14ac:dyDescent="0.25">
      <c r="A210" t="s">
        <v>477</v>
      </c>
      <c r="B210" t="s">
        <v>26</v>
      </c>
      <c r="C210" t="s">
        <v>284</v>
      </c>
      <c r="D210" s="4">
        <v>45710</v>
      </c>
      <c r="E210" t="s">
        <v>203</v>
      </c>
      <c r="F210" t="s">
        <v>240</v>
      </c>
      <c r="G210" t="s">
        <v>239</v>
      </c>
      <c r="J210" s="5">
        <v>-25.183782999999998</v>
      </c>
      <c r="K210" s="5">
        <v>113.60843300000001</v>
      </c>
      <c r="L210" s="5">
        <v>-25.1750665</v>
      </c>
      <c r="M210" s="5">
        <v>113.60081650000001</v>
      </c>
      <c r="N210" s="5">
        <v>-25.166350000000001</v>
      </c>
      <c r="O210" s="5">
        <v>113.5932</v>
      </c>
      <c r="R210" s="6">
        <v>12</v>
      </c>
      <c r="S210" s="7">
        <v>20</v>
      </c>
      <c r="T210" t="s">
        <v>253</v>
      </c>
      <c r="U210" s="8">
        <v>150</v>
      </c>
      <c r="V210" s="8">
        <v>90</v>
      </c>
      <c r="W210" s="8">
        <v>10</v>
      </c>
      <c r="X210" s="7">
        <v>989002028400649</v>
      </c>
      <c r="Z210" t="s">
        <v>298</v>
      </c>
    </row>
    <row r="211" spans="1:26" x14ac:dyDescent="0.25">
      <c r="A211" t="s">
        <v>477</v>
      </c>
      <c r="B211" t="s">
        <v>26</v>
      </c>
      <c r="C211" t="s">
        <v>285</v>
      </c>
      <c r="D211" s="4">
        <v>45715</v>
      </c>
      <c r="E211" t="s">
        <v>203</v>
      </c>
      <c r="F211" t="s">
        <v>240</v>
      </c>
      <c r="G211" t="s">
        <v>239</v>
      </c>
      <c r="J211" s="5">
        <v>-24.961983</v>
      </c>
      <c r="K211" s="5">
        <v>113.27726699999999</v>
      </c>
      <c r="L211" s="5">
        <v>-24.971241499999998</v>
      </c>
      <c r="M211" s="5">
        <v>113.2794585</v>
      </c>
      <c r="N211" s="5">
        <v>-24.980499999999999</v>
      </c>
      <c r="O211" s="5">
        <v>113.28165</v>
      </c>
      <c r="R211" s="6">
        <v>18.450000000000003</v>
      </c>
      <c r="S211" s="7">
        <v>20</v>
      </c>
      <c r="T211" t="s">
        <v>253</v>
      </c>
      <c r="U211" s="8">
        <v>350</v>
      </c>
      <c r="V211" s="8">
        <v>84</v>
      </c>
      <c r="W211" s="8">
        <v>6</v>
      </c>
      <c r="X211" s="7">
        <v>989002028400645</v>
      </c>
      <c r="Z211" t="s">
        <v>299</v>
      </c>
    </row>
    <row r="212" spans="1:26" x14ac:dyDescent="0.25">
      <c r="A212" t="s">
        <v>477</v>
      </c>
      <c r="B212" t="s">
        <v>26</v>
      </c>
      <c r="C212" t="s">
        <v>286</v>
      </c>
      <c r="D212" s="4">
        <v>45716</v>
      </c>
      <c r="E212" t="s">
        <v>203</v>
      </c>
      <c r="F212" t="s">
        <v>240</v>
      </c>
      <c r="G212" t="s">
        <v>239</v>
      </c>
      <c r="J212" s="5">
        <v>-25.194299999999998</v>
      </c>
      <c r="K212" s="5">
        <v>113.38205000000001</v>
      </c>
      <c r="L212" s="5">
        <v>-25.203808500000001</v>
      </c>
      <c r="M212" s="5">
        <v>113.3827</v>
      </c>
      <c r="N212" s="5">
        <v>-25.213317</v>
      </c>
      <c r="O212" s="5">
        <v>113.38334999999999</v>
      </c>
      <c r="R212" s="6">
        <v>18</v>
      </c>
      <c r="S212" s="7">
        <v>20</v>
      </c>
      <c r="T212" t="s">
        <v>253</v>
      </c>
      <c r="U212" s="8">
        <v>650</v>
      </c>
      <c r="V212" s="8">
        <v>105</v>
      </c>
      <c r="W212" s="8">
        <v>11</v>
      </c>
      <c r="X212" s="7" t="s">
        <v>297</v>
      </c>
      <c r="Z212" t="s">
        <v>300</v>
      </c>
    </row>
    <row r="213" spans="1:26" x14ac:dyDescent="0.25">
      <c r="A213" t="s">
        <v>477</v>
      </c>
      <c r="B213" t="s">
        <v>26</v>
      </c>
      <c r="C213" t="s">
        <v>287</v>
      </c>
      <c r="D213" s="4">
        <v>45716</v>
      </c>
      <c r="E213" t="s">
        <v>203</v>
      </c>
      <c r="F213" t="s">
        <v>240</v>
      </c>
      <c r="G213" t="s">
        <v>239</v>
      </c>
      <c r="J213" s="5">
        <v>-25.704782999999999</v>
      </c>
      <c r="K213" s="5">
        <v>113.1827</v>
      </c>
      <c r="L213" s="5">
        <v>-25.695816499999999</v>
      </c>
      <c r="M213" s="5">
        <v>113.18591649999999</v>
      </c>
      <c r="N213" s="5">
        <v>-25.68685</v>
      </c>
      <c r="O213" s="5">
        <v>113.189133</v>
      </c>
      <c r="R213" s="6">
        <v>18.149999999999999</v>
      </c>
      <c r="S213" s="7">
        <v>20</v>
      </c>
      <c r="T213" t="s">
        <v>254</v>
      </c>
      <c r="U213" s="8">
        <v>600</v>
      </c>
      <c r="V213" s="8">
        <v>102</v>
      </c>
      <c r="W213" s="8">
        <v>12</v>
      </c>
      <c r="X213" s="7">
        <v>989002028400694</v>
      </c>
      <c r="Z213" t="s">
        <v>301</v>
      </c>
    </row>
    <row r="214" spans="1:26" x14ac:dyDescent="0.25">
      <c r="A214" t="s">
        <v>477</v>
      </c>
      <c r="B214" t="s">
        <v>26</v>
      </c>
      <c r="C214" t="s">
        <v>288</v>
      </c>
      <c r="D214" s="4">
        <v>45717</v>
      </c>
      <c r="E214" t="s">
        <v>203</v>
      </c>
      <c r="F214" t="s">
        <v>240</v>
      </c>
      <c r="G214" t="s">
        <v>239</v>
      </c>
      <c r="J214" s="5">
        <v>-25.641200000000001</v>
      </c>
      <c r="K214" s="5">
        <v>113.207583</v>
      </c>
      <c r="L214" s="5">
        <v>-25.632108500000001</v>
      </c>
      <c r="M214" s="5">
        <v>113.20769150000001</v>
      </c>
      <c r="N214" s="5">
        <v>-25.623017000000001</v>
      </c>
      <c r="O214" s="5">
        <v>113.20780000000001</v>
      </c>
      <c r="R214" s="6">
        <v>16.200000000000003</v>
      </c>
      <c r="S214" s="7">
        <v>20</v>
      </c>
      <c r="T214" t="s">
        <v>254</v>
      </c>
      <c r="U214" s="8">
        <v>500</v>
      </c>
      <c r="V214" s="8">
        <v>107</v>
      </c>
      <c r="W214" s="8">
        <v>13</v>
      </c>
      <c r="X214" s="7">
        <v>989002028400608</v>
      </c>
      <c r="Z214" t="s">
        <v>302</v>
      </c>
    </row>
    <row r="215" spans="1:26" x14ac:dyDescent="0.25">
      <c r="A215" t="s">
        <v>477</v>
      </c>
      <c r="B215" t="s">
        <v>26</v>
      </c>
      <c r="C215" t="s">
        <v>289</v>
      </c>
      <c r="D215" s="4">
        <v>45717</v>
      </c>
      <c r="E215" t="s">
        <v>203</v>
      </c>
      <c r="F215" t="s">
        <v>240</v>
      </c>
      <c r="G215" t="s">
        <v>239</v>
      </c>
      <c r="J215" s="5">
        <v>-25.641200000000001</v>
      </c>
      <c r="K215" s="5">
        <v>113.207583</v>
      </c>
      <c r="L215" s="5">
        <v>-25.632108500000001</v>
      </c>
      <c r="M215" s="5">
        <v>113.20769150000001</v>
      </c>
      <c r="N215" s="5">
        <v>-25.623017000000001</v>
      </c>
      <c r="O215" s="5">
        <v>113.20780000000001</v>
      </c>
      <c r="R215" s="6">
        <v>16.200000000000003</v>
      </c>
      <c r="S215" s="7">
        <v>20</v>
      </c>
      <c r="T215" t="s">
        <v>254</v>
      </c>
      <c r="U215" s="8">
        <v>500</v>
      </c>
      <c r="V215" s="8">
        <v>100</v>
      </c>
      <c r="W215" s="8">
        <v>9</v>
      </c>
      <c r="X215" s="7">
        <v>989002028400662</v>
      </c>
      <c r="Z215" t="s">
        <v>302</v>
      </c>
    </row>
    <row r="216" spans="1:26" x14ac:dyDescent="0.25">
      <c r="A216" t="s">
        <v>477</v>
      </c>
      <c r="B216" t="s">
        <v>26</v>
      </c>
      <c r="C216" t="s">
        <v>290</v>
      </c>
      <c r="D216" s="4">
        <v>45717</v>
      </c>
      <c r="E216" t="s">
        <v>203</v>
      </c>
      <c r="F216" t="s">
        <v>240</v>
      </c>
      <c r="G216" t="s">
        <v>239</v>
      </c>
      <c r="J216" s="5">
        <v>-25.641200000000001</v>
      </c>
      <c r="K216" s="5">
        <v>113.207583</v>
      </c>
      <c r="L216" s="5">
        <v>-25.632108500000001</v>
      </c>
      <c r="M216" s="5">
        <v>113.20769150000001</v>
      </c>
      <c r="N216" s="5">
        <v>-25.623017000000001</v>
      </c>
      <c r="O216" s="5">
        <v>113.20780000000001</v>
      </c>
      <c r="R216" s="6">
        <v>16.200000000000003</v>
      </c>
      <c r="S216" s="7">
        <v>20</v>
      </c>
      <c r="T216" t="s">
        <v>254</v>
      </c>
      <c r="U216" s="8">
        <v>750</v>
      </c>
      <c r="V216" s="8">
        <v>98</v>
      </c>
      <c r="W216" s="8">
        <v>12</v>
      </c>
      <c r="X216" s="7">
        <v>989002028400648</v>
      </c>
      <c r="Z216" t="s">
        <v>302</v>
      </c>
    </row>
    <row r="217" spans="1:26" x14ac:dyDescent="0.25">
      <c r="A217" t="s">
        <v>477</v>
      </c>
      <c r="B217" t="s">
        <v>26</v>
      </c>
      <c r="C217" t="s">
        <v>291</v>
      </c>
      <c r="D217" s="4">
        <v>45718</v>
      </c>
      <c r="E217" t="s">
        <v>203</v>
      </c>
      <c r="F217" t="s">
        <v>240</v>
      </c>
      <c r="G217" t="s">
        <v>239</v>
      </c>
      <c r="J217" s="5">
        <v>-25.654</v>
      </c>
      <c r="K217" s="5">
        <v>113.238733</v>
      </c>
      <c r="L217" s="5">
        <v>-25.6447085</v>
      </c>
      <c r="M217" s="5">
        <v>113.239833</v>
      </c>
      <c r="N217" s="5">
        <v>-25.635417</v>
      </c>
      <c r="O217" s="5">
        <v>113.240933</v>
      </c>
      <c r="R217" s="6">
        <v>15.9</v>
      </c>
      <c r="S217" s="7">
        <v>20</v>
      </c>
      <c r="T217" t="s">
        <v>253</v>
      </c>
      <c r="U217" s="8">
        <v>550</v>
      </c>
      <c r="V217" s="8">
        <v>84</v>
      </c>
      <c r="W217" s="8">
        <v>10</v>
      </c>
      <c r="X217" s="7">
        <v>989002028399666</v>
      </c>
      <c r="Z217" t="s">
        <v>303</v>
      </c>
    </row>
    <row r="218" spans="1:26" x14ac:dyDescent="0.25">
      <c r="A218" t="s">
        <v>477</v>
      </c>
      <c r="B218" t="s">
        <v>26</v>
      </c>
      <c r="C218" t="s">
        <v>292</v>
      </c>
      <c r="D218" s="4">
        <v>45718</v>
      </c>
      <c r="E218" t="s">
        <v>203</v>
      </c>
      <c r="F218" t="s">
        <v>240</v>
      </c>
      <c r="G218" t="s">
        <v>239</v>
      </c>
      <c r="J218" s="5">
        <v>-25.586532999999999</v>
      </c>
      <c r="K218" s="5">
        <v>113.22366700000001</v>
      </c>
      <c r="L218" s="5">
        <v>-25.577016499999999</v>
      </c>
      <c r="M218" s="5">
        <v>113.2234335</v>
      </c>
      <c r="N218" s="5">
        <v>-25.567499999999999</v>
      </c>
      <c r="O218" s="5">
        <v>113.22320000000001</v>
      </c>
      <c r="R218" s="6">
        <v>16.3</v>
      </c>
      <c r="S218" s="7">
        <v>20</v>
      </c>
      <c r="T218" t="s">
        <v>254</v>
      </c>
      <c r="U218" s="8">
        <v>250</v>
      </c>
      <c r="V218" s="8">
        <v>93</v>
      </c>
      <c r="W218" s="8">
        <v>12</v>
      </c>
      <c r="X218" s="7">
        <v>989002028399629</v>
      </c>
      <c r="Z218" t="s">
        <v>304</v>
      </c>
    </row>
    <row r="219" spans="1:26" x14ac:dyDescent="0.25">
      <c r="A219" t="s">
        <v>477</v>
      </c>
      <c r="B219" t="s">
        <v>26</v>
      </c>
      <c r="C219" t="s">
        <v>293</v>
      </c>
      <c r="D219" s="4">
        <v>45718</v>
      </c>
      <c r="E219" t="s">
        <v>203</v>
      </c>
      <c r="F219" t="s">
        <v>240</v>
      </c>
      <c r="G219" t="s">
        <v>239</v>
      </c>
      <c r="J219" s="5">
        <v>-25.586532999999999</v>
      </c>
      <c r="K219" s="5">
        <v>113.22366700000001</v>
      </c>
      <c r="L219" s="5">
        <v>-25.577016499999999</v>
      </c>
      <c r="M219" s="5">
        <v>113.2234335</v>
      </c>
      <c r="N219" s="5">
        <v>-25.567499999999999</v>
      </c>
      <c r="O219" s="5">
        <v>113.22320000000001</v>
      </c>
      <c r="R219" s="6">
        <v>16.3</v>
      </c>
      <c r="S219" s="7">
        <v>20</v>
      </c>
      <c r="T219" t="s">
        <v>253</v>
      </c>
      <c r="U219" s="8">
        <v>450</v>
      </c>
      <c r="V219" s="8">
        <v>90</v>
      </c>
      <c r="W219" s="8">
        <v>9</v>
      </c>
      <c r="X219" s="7">
        <v>989002028399657</v>
      </c>
      <c r="Z219" t="s">
        <v>304</v>
      </c>
    </row>
    <row r="220" spans="1:26" x14ac:dyDescent="0.25">
      <c r="A220" t="s">
        <v>477</v>
      </c>
      <c r="B220" t="s">
        <v>26</v>
      </c>
      <c r="C220" t="s">
        <v>294</v>
      </c>
      <c r="D220" s="4">
        <v>45718</v>
      </c>
      <c r="E220" t="s">
        <v>203</v>
      </c>
      <c r="F220" t="s">
        <v>240</v>
      </c>
      <c r="G220" t="s">
        <v>239</v>
      </c>
      <c r="J220" s="5">
        <v>-25.586532999999999</v>
      </c>
      <c r="K220" s="5">
        <v>113.22366700000001</v>
      </c>
      <c r="L220" s="5">
        <v>-25.577016499999999</v>
      </c>
      <c r="M220" s="5">
        <v>113.2234335</v>
      </c>
      <c r="N220" s="5">
        <v>-25.567499999999999</v>
      </c>
      <c r="O220" s="5">
        <v>113.22320000000001</v>
      </c>
      <c r="R220" s="6">
        <v>16.3</v>
      </c>
      <c r="S220" s="7">
        <v>20</v>
      </c>
      <c r="T220" t="s">
        <v>254</v>
      </c>
      <c r="U220" s="8">
        <v>300</v>
      </c>
      <c r="V220" s="8">
        <v>75</v>
      </c>
      <c r="W220" s="8">
        <v>8</v>
      </c>
      <c r="X220" s="7">
        <v>989002028399646</v>
      </c>
      <c r="Z220" t="s">
        <v>304</v>
      </c>
    </row>
    <row r="221" spans="1:26" x14ac:dyDescent="0.25">
      <c r="A221" t="s">
        <v>477</v>
      </c>
      <c r="B221" t="s">
        <v>26</v>
      </c>
      <c r="C221" t="s">
        <v>295</v>
      </c>
      <c r="D221" s="4">
        <v>45718</v>
      </c>
      <c r="E221" t="s">
        <v>203</v>
      </c>
      <c r="F221" t="s">
        <v>240</v>
      </c>
      <c r="G221" t="s">
        <v>239</v>
      </c>
      <c r="J221" s="5">
        <v>-25.586532999999999</v>
      </c>
      <c r="K221" s="5">
        <v>113.22366700000001</v>
      </c>
      <c r="L221" s="5">
        <v>-25.577016499999999</v>
      </c>
      <c r="M221" s="5">
        <v>113.2234335</v>
      </c>
      <c r="N221" s="5">
        <v>-25.567499999999999</v>
      </c>
      <c r="O221" s="5">
        <v>113.22320000000001</v>
      </c>
      <c r="R221" s="6">
        <v>16.3</v>
      </c>
      <c r="S221" s="7">
        <v>20</v>
      </c>
      <c r="T221" t="s">
        <v>254</v>
      </c>
      <c r="U221" s="8">
        <v>250</v>
      </c>
      <c r="V221" s="8">
        <v>101</v>
      </c>
      <c r="W221" s="8">
        <v>10</v>
      </c>
      <c r="X221" s="7">
        <v>989002028399651</v>
      </c>
      <c r="Z221" t="s">
        <v>304</v>
      </c>
    </row>
    <row r="222" spans="1:26" x14ac:dyDescent="0.25">
      <c r="A222" t="s">
        <v>477</v>
      </c>
      <c r="B222" t="s">
        <v>26</v>
      </c>
      <c r="C222" t="s">
        <v>296</v>
      </c>
      <c r="D222" s="4">
        <v>45719</v>
      </c>
      <c r="E222" t="s">
        <v>203</v>
      </c>
      <c r="F222" t="s">
        <v>240</v>
      </c>
      <c r="G222" t="s">
        <v>239</v>
      </c>
      <c r="J222" s="5">
        <v>-25.355733000000001</v>
      </c>
      <c r="K222" s="5">
        <v>113.3826</v>
      </c>
      <c r="L222" s="5">
        <v>-25.346391500000003</v>
      </c>
      <c r="M222" s="5">
        <v>113.38269149999999</v>
      </c>
      <c r="N222" s="5">
        <v>-25.337050000000001</v>
      </c>
      <c r="O222" s="5">
        <v>113.382783</v>
      </c>
      <c r="R222" s="6">
        <v>15.3</v>
      </c>
      <c r="S222" s="7">
        <v>20</v>
      </c>
      <c r="T222" t="s">
        <v>253</v>
      </c>
      <c r="U222" s="8">
        <v>600</v>
      </c>
      <c r="V222" s="8">
        <v>82</v>
      </c>
      <c r="W222" s="8">
        <v>9</v>
      </c>
      <c r="X222" s="7">
        <v>989002028399635</v>
      </c>
      <c r="Z222" t="s">
        <v>305</v>
      </c>
    </row>
    <row r="223" spans="1:26" x14ac:dyDescent="0.25">
      <c r="A223" t="s">
        <v>477</v>
      </c>
      <c r="B223" t="s">
        <v>26</v>
      </c>
      <c r="C223" t="s">
        <v>307</v>
      </c>
      <c r="D223" s="4">
        <v>45754</v>
      </c>
      <c r="E223" t="s">
        <v>203</v>
      </c>
      <c r="F223" t="s">
        <v>204</v>
      </c>
      <c r="G223" t="s">
        <v>205</v>
      </c>
      <c r="J223" s="5">
        <v>-22.144349999999999</v>
      </c>
      <c r="K223" s="5">
        <v>114.1979</v>
      </c>
      <c r="L223" s="5">
        <v>-22.108483499999998</v>
      </c>
      <c r="M223" s="5">
        <v>114.23030850000001</v>
      </c>
      <c r="N223" s="5">
        <v>-22.072617000000001</v>
      </c>
      <c r="O223" s="5">
        <v>114.26271699999999</v>
      </c>
      <c r="R223" s="6">
        <v>17.05</v>
      </c>
      <c r="S223" s="7">
        <v>90</v>
      </c>
      <c r="U223" s="8">
        <v>570</v>
      </c>
      <c r="V223" s="8">
        <v>98.1</v>
      </c>
      <c r="W223" s="8">
        <v>9.3000000000000007</v>
      </c>
      <c r="X223" s="7">
        <v>989002028400601</v>
      </c>
      <c r="Z223" t="s">
        <v>308</v>
      </c>
    </row>
    <row r="224" spans="1:26" x14ac:dyDescent="0.25">
      <c r="A224" t="s">
        <v>477</v>
      </c>
      <c r="B224" t="s">
        <v>26</v>
      </c>
      <c r="C224" t="s">
        <v>309</v>
      </c>
      <c r="D224" s="4">
        <v>45975</v>
      </c>
      <c r="E224" t="s">
        <v>203</v>
      </c>
      <c r="F224" t="s">
        <v>240</v>
      </c>
      <c r="G224" t="s">
        <v>239</v>
      </c>
      <c r="J224" s="5">
        <v>-25.171399999999998</v>
      </c>
      <c r="K224" s="5">
        <v>113.44533300000001</v>
      </c>
      <c r="L224" s="5">
        <f>AVERAGE(J224,N224)</f>
        <v>-25.162191499999999</v>
      </c>
      <c r="M224" s="5">
        <f>AVERAGE(K224,O224)</f>
        <v>113.358508</v>
      </c>
      <c r="N224" s="5">
        <v>-25.152982999999999</v>
      </c>
      <c r="O224" s="5">
        <v>113.271683</v>
      </c>
      <c r="R224" s="6">
        <v>17.149999999999999</v>
      </c>
      <c r="S224" s="7">
        <v>20</v>
      </c>
      <c r="Z224" t="s">
        <v>320</v>
      </c>
    </row>
    <row r="225" spans="1:26" x14ac:dyDescent="0.25">
      <c r="A225" t="s">
        <v>477</v>
      </c>
      <c r="B225" t="s">
        <v>26</v>
      </c>
      <c r="C225" t="s">
        <v>310</v>
      </c>
      <c r="D225" s="4">
        <v>45978</v>
      </c>
      <c r="E225" t="s">
        <v>203</v>
      </c>
      <c r="F225" t="s">
        <v>240</v>
      </c>
      <c r="G225" t="s">
        <v>239</v>
      </c>
      <c r="J225" s="5">
        <v>-25.577983</v>
      </c>
      <c r="K225" s="5">
        <v>113.1357</v>
      </c>
      <c r="L225" s="5">
        <f t="shared" ref="L225:L234" si="0">AVERAGE(J225,N225)</f>
        <v>-25.585749999999997</v>
      </c>
      <c r="M225" s="5">
        <f>AVERAGE(K225,O225)</f>
        <v>113.1405915</v>
      </c>
      <c r="N225" s="5">
        <v>-25.593516999999999</v>
      </c>
      <c r="O225" s="5">
        <v>113.145483</v>
      </c>
      <c r="R225" s="6">
        <v>18.8</v>
      </c>
      <c r="S225" s="7">
        <v>20</v>
      </c>
      <c r="Z225" t="s">
        <v>321</v>
      </c>
    </row>
    <row r="226" spans="1:26" x14ac:dyDescent="0.25">
      <c r="A226" t="s">
        <v>477</v>
      </c>
      <c r="B226" t="s">
        <v>26</v>
      </c>
      <c r="C226" t="s">
        <v>311</v>
      </c>
      <c r="D226" s="4">
        <v>45979</v>
      </c>
      <c r="E226" t="s">
        <v>203</v>
      </c>
      <c r="F226" t="s">
        <v>240</v>
      </c>
      <c r="G226" t="s">
        <v>239</v>
      </c>
      <c r="J226" s="5">
        <v>-25.555516999999998</v>
      </c>
      <c r="K226" s="5">
        <v>113.20218300000001</v>
      </c>
      <c r="L226" s="5">
        <f t="shared" si="0"/>
        <v>-25.564583499999998</v>
      </c>
      <c r="M226" s="5">
        <f t="shared" ref="M226:M234" si="1">AVERAGE(K226,O226)</f>
        <v>113.20231649999999</v>
      </c>
      <c r="N226" s="5">
        <v>-25.573650000000001</v>
      </c>
      <c r="O226" s="5">
        <v>113.20245</v>
      </c>
      <c r="R226" s="6">
        <v>18.5</v>
      </c>
      <c r="S226" s="7">
        <v>20</v>
      </c>
      <c r="Z226" t="s">
        <v>322</v>
      </c>
    </row>
    <row r="227" spans="1:26" x14ac:dyDescent="0.25">
      <c r="A227" t="s">
        <v>477</v>
      </c>
      <c r="B227" t="s">
        <v>26</v>
      </c>
      <c r="C227" t="s">
        <v>312</v>
      </c>
      <c r="D227" s="4">
        <v>45979</v>
      </c>
      <c r="E227" t="s">
        <v>203</v>
      </c>
      <c r="F227" t="s">
        <v>240</v>
      </c>
      <c r="G227" t="s">
        <v>239</v>
      </c>
      <c r="J227" s="5">
        <v>-25.555516999999998</v>
      </c>
      <c r="K227" s="5">
        <v>113.20218300000001</v>
      </c>
      <c r="L227" s="5">
        <f t="shared" si="0"/>
        <v>-25.564583499999998</v>
      </c>
      <c r="M227" s="5">
        <f t="shared" si="1"/>
        <v>113.20231649999999</v>
      </c>
      <c r="N227" s="5">
        <v>-25.573650000000001</v>
      </c>
      <c r="O227" s="5">
        <v>113.20245</v>
      </c>
      <c r="R227" s="6">
        <v>18.5</v>
      </c>
      <c r="S227" s="7">
        <v>20</v>
      </c>
      <c r="Z227" t="s">
        <v>322</v>
      </c>
    </row>
    <row r="228" spans="1:26" x14ac:dyDescent="0.25">
      <c r="A228" t="s">
        <v>477</v>
      </c>
      <c r="B228" t="s">
        <v>26</v>
      </c>
      <c r="C228" t="s">
        <v>313</v>
      </c>
      <c r="D228" s="4">
        <v>45979</v>
      </c>
      <c r="E228" t="s">
        <v>203</v>
      </c>
      <c r="F228" t="s">
        <v>240</v>
      </c>
      <c r="G228" t="s">
        <v>239</v>
      </c>
      <c r="J228" s="5">
        <v>-25.555516999999998</v>
      </c>
      <c r="K228" s="5">
        <v>113.20218300000001</v>
      </c>
      <c r="L228" s="5">
        <f t="shared" si="0"/>
        <v>-25.564583499999998</v>
      </c>
      <c r="M228" s="5">
        <f t="shared" si="1"/>
        <v>113.20231649999999</v>
      </c>
      <c r="N228" s="5">
        <v>-25.573650000000001</v>
      </c>
      <c r="O228" s="5">
        <v>113.20245</v>
      </c>
      <c r="R228" s="6">
        <v>18.5</v>
      </c>
      <c r="S228" s="7">
        <v>20</v>
      </c>
      <c r="Z228" t="s">
        <v>322</v>
      </c>
    </row>
    <row r="229" spans="1:26" x14ac:dyDescent="0.25">
      <c r="A229" t="s">
        <v>477</v>
      </c>
      <c r="B229" t="s">
        <v>26</v>
      </c>
      <c r="C229" t="s">
        <v>314</v>
      </c>
      <c r="D229" s="4">
        <v>45979</v>
      </c>
      <c r="E229" t="s">
        <v>203</v>
      </c>
      <c r="F229" t="s">
        <v>240</v>
      </c>
      <c r="G229" t="s">
        <v>239</v>
      </c>
      <c r="J229" s="5">
        <v>-25.563617000000001</v>
      </c>
      <c r="K229" s="5">
        <v>113.217783</v>
      </c>
      <c r="L229" s="5">
        <f t="shared" si="0"/>
        <v>-25.572850000000003</v>
      </c>
      <c r="M229" s="5">
        <f t="shared" si="1"/>
        <v>113.219708</v>
      </c>
      <c r="N229">
        <v>-25.582083000000001</v>
      </c>
      <c r="O229">
        <v>113.221633</v>
      </c>
      <c r="R229" s="6">
        <v>17.350000000000001</v>
      </c>
      <c r="S229" s="7">
        <v>20</v>
      </c>
      <c r="Z229" t="s">
        <v>323</v>
      </c>
    </row>
    <row r="230" spans="1:26" x14ac:dyDescent="0.25">
      <c r="A230" t="s">
        <v>477</v>
      </c>
      <c r="B230" t="s">
        <v>26</v>
      </c>
      <c r="C230" t="s">
        <v>315</v>
      </c>
      <c r="D230" s="4">
        <v>45979</v>
      </c>
      <c r="E230" t="s">
        <v>203</v>
      </c>
      <c r="F230" t="s">
        <v>240</v>
      </c>
      <c r="G230" t="s">
        <v>239</v>
      </c>
      <c r="J230" s="5">
        <v>-25.589433</v>
      </c>
      <c r="K230" s="5">
        <v>113.21463300000001</v>
      </c>
      <c r="L230" s="5">
        <f t="shared" si="0"/>
        <v>-25.598849999999999</v>
      </c>
      <c r="M230" s="5">
        <f t="shared" si="1"/>
        <v>113.21115</v>
      </c>
      <c r="N230">
        <v>-25.608267000000001</v>
      </c>
      <c r="O230">
        <v>113.207667</v>
      </c>
      <c r="R230" s="6">
        <v>17</v>
      </c>
      <c r="S230" s="7">
        <v>20</v>
      </c>
      <c r="Z230" t="s">
        <v>324</v>
      </c>
    </row>
    <row r="231" spans="1:26" x14ac:dyDescent="0.25">
      <c r="A231" t="s">
        <v>477</v>
      </c>
      <c r="B231" t="s">
        <v>26</v>
      </c>
      <c r="C231" t="s">
        <v>316</v>
      </c>
      <c r="D231" s="4">
        <v>45980</v>
      </c>
      <c r="E231" t="s">
        <v>203</v>
      </c>
      <c r="F231" t="s">
        <v>240</v>
      </c>
      <c r="G231" t="s">
        <v>239</v>
      </c>
      <c r="J231" s="5">
        <v>-25.356833000000002</v>
      </c>
      <c r="K231" s="5">
        <v>113.43935</v>
      </c>
      <c r="L231" s="5">
        <f t="shared" si="0"/>
        <v>-25.347541499999998</v>
      </c>
      <c r="M231" s="5">
        <f t="shared" si="1"/>
        <v>113.43965850000001</v>
      </c>
      <c r="N231">
        <v>-25.338249999999999</v>
      </c>
      <c r="O231">
        <v>113.439967</v>
      </c>
      <c r="R231" s="6">
        <v>14.899999999999999</v>
      </c>
      <c r="S231" s="7">
        <v>20</v>
      </c>
      <c r="Z231" t="s">
        <v>325</v>
      </c>
    </row>
    <row r="232" spans="1:26" x14ac:dyDescent="0.25">
      <c r="A232" t="s">
        <v>477</v>
      </c>
      <c r="B232" t="s">
        <v>26</v>
      </c>
      <c r="C232" t="s">
        <v>317</v>
      </c>
      <c r="D232" s="4">
        <v>45980</v>
      </c>
      <c r="E232" t="s">
        <v>203</v>
      </c>
      <c r="F232" t="s">
        <v>240</v>
      </c>
      <c r="G232" t="s">
        <v>239</v>
      </c>
      <c r="J232" s="5">
        <v>-25.336500000000001</v>
      </c>
      <c r="K232" s="5">
        <v>113.41930000000001</v>
      </c>
      <c r="L232" s="5">
        <f t="shared" si="0"/>
        <v>-25.3449165</v>
      </c>
      <c r="M232" s="5">
        <f t="shared" si="1"/>
        <v>113.41527500000001</v>
      </c>
      <c r="N232">
        <v>-25.353332999999999</v>
      </c>
      <c r="O232">
        <v>113.41125</v>
      </c>
      <c r="R232" s="6">
        <v>16.600000000000001</v>
      </c>
      <c r="S232" s="7">
        <v>21</v>
      </c>
      <c r="Z232" t="s">
        <v>326</v>
      </c>
    </row>
    <row r="233" spans="1:26" x14ac:dyDescent="0.25">
      <c r="A233" t="s">
        <v>477</v>
      </c>
      <c r="B233" t="s">
        <v>26</v>
      </c>
      <c r="C233" t="s">
        <v>318</v>
      </c>
      <c r="D233" s="4">
        <v>45980</v>
      </c>
      <c r="E233" t="s">
        <v>203</v>
      </c>
      <c r="F233" t="s">
        <v>240</v>
      </c>
      <c r="G233" t="s">
        <v>239</v>
      </c>
      <c r="J233" s="5">
        <v>-25.297682999999999</v>
      </c>
      <c r="K233" s="5">
        <v>113.382667</v>
      </c>
      <c r="L233" s="5">
        <f t="shared" si="0"/>
        <v>-25.287858</v>
      </c>
      <c r="M233" s="5">
        <f t="shared" si="1"/>
        <v>113.383617</v>
      </c>
      <c r="N233">
        <v>-25.278033000000001</v>
      </c>
      <c r="O233">
        <v>113.384567</v>
      </c>
      <c r="R233" s="6">
        <v>16.45</v>
      </c>
      <c r="S233" s="7">
        <v>20</v>
      </c>
      <c r="Z233" t="s">
        <v>327</v>
      </c>
    </row>
    <row r="234" spans="1:26" x14ac:dyDescent="0.25">
      <c r="A234" t="s">
        <v>477</v>
      </c>
      <c r="B234" t="s">
        <v>26</v>
      </c>
      <c r="C234" t="s">
        <v>319</v>
      </c>
      <c r="D234" s="4">
        <v>45980</v>
      </c>
      <c r="E234" t="s">
        <v>203</v>
      </c>
      <c r="F234" t="s">
        <v>240</v>
      </c>
      <c r="G234" t="s">
        <v>239</v>
      </c>
      <c r="J234" s="5">
        <v>-25.2835</v>
      </c>
      <c r="K234" s="5">
        <v>113.415167</v>
      </c>
      <c r="L234" s="5">
        <f t="shared" si="0"/>
        <v>-25.291474999999998</v>
      </c>
      <c r="M234" s="5">
        <f t="shared" si="1"/>
        <v>113.41970000000001</v>
      </c>
      <c r="N234">
        <v>-25.29945</v>
      </c>
      <c r="O234">
        <v>113.424233</v>
      </c>
      <c r="R234" s="6">
        <v>16.799999999999997</v>
      </c>
      <c r="S234" s="7">
        <v>19</v>
      </c>
      <c r="Z234" t="s">
        <v>328</v>
      </c>
    </row>
    <row r="235" spans="1:26" x14ac:dyDescent="0.25">
      <c r="A235" t="s">
        <v>330</v>
      </c>
      <c r="B235" t="s">
        <v>331</v>
      </c>
      <c r="C235" t="s">
        <v>332</v>
      </c>
      <c r="E235" t="s">
        <v>203</v>
      </c>
      <c r="F235" t="s">
        <v>204</v>
      </c>
      <c r="H235" s="5">
        <v>-12.2</v>
      </c>
      <c r="I235" s="5">
        <v>123.1</v>
      </c>
    </row>
    <row r="236" spans="1:26" x14ac:dyDescent="0.25">
      <c r="A236" t="s">
        <v>330</v>
      </c>
      <c r="B236" t="s">
        <v>331</v>
      </c>
      <c r="C236" t="s">
        <v>333</v>
      </c>
      <c r="E236" t="s">
        <v>203</v>
      </c>
      <c r="F236" t="s">
        <v>204</v>
      </c>
      <c r="H236" s="5">
        <v>-12.2</v>
      </c>
      <c r="I236" s="5">
        <v>122.9</v>
      </c>
    </row>
    <row r="237" spans="1:26" x14ac:dyDescent="0.25">
      <c r="A237" t="s">
        <v>330</v>
      </c>
      <c r="B237" t="s">
        <v>331</v>
      </c>
      <c r="C237" t="s">
        <v>334</v>
      </c>
      <c r="E237" t="s">
        <v>203</v>
      </c>
      <c r="F237" t="s">
        <v>204</v>
      </c>
      <c r="H237" s="5">
        <v>-12.2</v>
      </c>
      <c r="I237" s="5">
        <v>123.1</v>
      </c>
    </row>
    <row r="238" spans="1:26" x14ac:dyDescent="0.25">
      <c r="A238" t="s">
        <v>330</v>
      </c>
      <c r="B238" t="s">
        <v>331</v>
      </c>
      <c r="C238" t="s">
        <v>335</v>
      </c>
      <c r="E238" t="s">
        <v>203</v>
      </c>
      <c r="F238" t="s">
        <v>204</v>
      </c>
      <c r="H238" s="5">
        <v>-12.2</v>
      </c>
      <c r="I238" s="5">
        <v>122.9</v>
      </c>
    </row>
    <row r="239" spans="1:26" x14ac:dyDescent="0.25">
      <c r="A239" t="s">
        <v>330</v>
      </c>
      <c r="B239" t="s">
        <v>331</v>
      </c>
      <c r="C239" t="s">
        <v>336</v>
      </c>
      <c r="E239" t="s">
        <v>203</v>
      </c>
      <c r="F239" t="s">
        <v>204</v>
      </c>
      <c r="H239" s="5">
        <v>-12.2</v>
      </c>
      <c r="I239" s="5">
        <v>122.9</v>
      </c>
    </row>
    <row r="240" spans="1:26" x14ac:dyDescent="0.25">
      <c r="A240" t="s">
        <v>330</v>
      </c>
      <c r="B240" t="s">
        <v>337</v>
      </c>
      <c r="C240" t="s">
        <v>338</v>
      </c>
      <c r="E240" t="s">
        <v>203</v>
      </c>
      <c r="F240" t="s">
        <v>204</v>
      </c>
      <c r="G240" t="s">
        <v>339</v>
      </c>
      <c r="H240" s="5">
        <v>-12.23333</v>
      </c>
      <c r="I240" s="5">
        <v>123.08333</v>
      </c>
    </row>
    <row r="241" spans="1:26" x14ac:dyDescent="0.25">
      <c r="A241" t="s">
        <v>330</v>
      </c>
      <c r="B241" t="s">
        <v>337</v>
      </c>
      <c r="C241" t="s">
        <v>340</v>
      </c>
      <c r="E241" t="s">
        <v>203</v>
      </c>
      <c r="F241" t="s">
        <v>204</v>
      </c>
    </row>
    <row r="242" spans="1:26" x14ac:dyDescent="0.25">
      <c r="A242" t="s">
        <v>330</v>
      </c>
      <c r="B242" t="s">
        <v>331</v>
      </c>
      <c r="C242">
        <v>26415</v>
      </c>
      <c r="E242" t="s">
        <v>203</v>
      </c>
      <c r="F242" t="s">
        <v>204</v>
      </c>
      <c r="H242" s="5">
        <v>-22</v>
      </c>
      <c r="I242" s="5">
        <v>114.3</v>
      </c>
    </row>
    <row r="243" spans="1:26" x14ac:dyDescent="0.25">
      <c r="A243" t="s">
        <v>330</v>
      </c>
      <c r="B243" t="s">
        <v>331</v>
      </c>
      <c r="C243">
        <v>22961</v>
      </c>
      <c r="E243" t="s">
        <v>203</v>
      </c>
      <c r="F243" t="s">
        <v>204</v>
      </c>
      <c r="H243" s="5">
        <v>-20.6</v>
      </c>
      <c r="I243" s="5">
        <v>117.2</v>
      </c>
    </row>
    <row r="244" spans="1:26" x14ac:dyDescent="0.25">
      <c r="A244" t="s">
        <v>330</v>
      </c>
      <c r="B244" t="s">
        <v>331</v>
      </c>
      <c r="C244">
        <v>73667</v>
      </c>
      <c r="E244" t="s">
        <v>203</v>
      </c>
      <c r="F244" t="s">
        <v>204</v>
      </c>
      <c r="H244" s="5">
        <v>-19.583300000000001</v>
      </c>
      <c r="I244" s="5">
        <v>116.66670000000001</v>
      </c>
    </row>
    <row r="245" spans="1:26" x14ac:dyDescent="0.25">
      <c r="A245" t="s">
        <v>330</v>
      </c>
      <c r="B245" t="s">
        <v>331</v>
      </c>
      <c r="C245">
        <v>43897</v>
      </c>
      <c r="E245" t="s">
        <v>203</v>
      </c>
      <c r="F245" t="s">
        <v>204</v>
      </c>
      <c r="H245" s="5">
        <v>-22</v>
      </c>
      <c r="I245" s="5">
        <v>114.3</v>
      </c>
    </row>
    <row r="246" spans="1:26" x14ac:dyDescent="0.25">
      <c r="A246" t="s">
        <v>330</v>
      </c>
      <c r="B246" t="s">
        <v>331</v>
      </c>
      <c r="C246">
        <v>41261</v>
      </c>
      <c r="E246" t="s">
        <v>203</v>
      </c>
      <c r="F246" t="s">
        <v>204</v>
      </c>
      <c r="H246" s="5">
        <v>-22</v>
      </c>
      <c r="I246" s="5">
        <v>114.3</v>
      </c>
    </row>
    <row r="247" spans="1:26" x14ac:dyDescent="0.25">
      <c r="A247" t="s">
        <v>330</v>
      </c>
      <c r="B247" t="s">
        <v>331</v>
      </c>
      <c r="C247">
        <v>47748</v>
      </c>
      <c r="E247" t="s">
        <v>203</v>
      </c>
      <c r="F247" t="s">
        <v>204</v>
      </c>
      <c r="H247" s="5">
        <v>-22</v>
      </c>
      <c r="I247" s="5">
        <v>114.3</v>
      </c>
    </row>
    <row r="248" spans="1:26" x14ac:dyDescent="0.25">
      <c r="A248" t="s">
        <v>330</v>
      </c>
      <c r="B248" t="s">
        <v>331</v>
      </c>
      <c r="C248">
        <v>31443</v>
      </c>
      <c r="E248" t="s">
        <v>203</v>
      </c>
      <c r="F248" t="s">
        <v>204</v>
      </c>
      <c r="H248" s="5">
        <v>-22</v>
      </c>
      <c r="I248" s="5">
        <v>114.3</v>
      </c>
    </row>
    <row r="249" spans="1:26" x14ac:dyDescent="0.25">
      <c r="A249" t="s">
        <v>330</v>
      </c>
      <c r="B249" t="s">
        <v>331</v>
      </c>
      <c r="C249">
        <v>73668</v>
      </c>
      <c r="E249" t="s">
        <v>203</v>
      </c>
      <c r="F249" t="s">
        <v>204</v>
      </c>
      <c r="H249" s="5">
        <v>-19.55</v>
      </c>
      <c r="I249" s="5">
        <v>116.6833</v>
      </c>
    </row>
    <row r="250" spans="1:26" x14ac:dyDescent="0.25">
      <c r="A250" t="s">
        <v>330</v>
      </c>
      <c r="B250" t="s">
        <v>337</v>
      </c>
      <c r="C250" t="s">
        <v>341</v>
      </c>
      <c r="E250" t="s">
        <v>203</v>
      </c>
      <c r="F250" t="s">
        <v>204</v>
      </c>
      <c r="H250" s="5">
        <v>-12.2</v>
      </c>
      <c r="I250" s="5">
        <v>123.083</v>
      </c>
    </row>
    <row r="251" spans="1:26" x14ac:dyDescent="0.25">
      <c r="A251" t="s">
        <v>330</v>
      </c>
      <c r="B251" t="s">
        <v>337</v>
      </c>
      <c r="C251" t="s">
        <v>342</v>
      </c>
      <c r="E251" t="s">
        <v>203</v>
      </c>
      <c r="F251" t="s">
        <v>204</v>
      </c>
      <c r="H251" s="5">
        <v>-12.2</v>
      </c>
      <c r="I251" s="5">
        <v>123.083</v>
      </c>
    </row>
    <row r="252" spans="1:26" x14ac:dyDescent="0.25">
      <c r="A252" t="s">
        <v>330</v>
      </c>
      <c r="B252" t="s">
        <v>337</v>
      </c>
      <c r="C252" t="s">
        <v>343</v>
      </c>
      <c r="E252" t="s">
        <v>203</v>
      </c>
      <c r="F252" t="s">
        <v>204</v>
      </c>
      <c r="H252" s="5">
        <v>-12.2</v>
      </c>
      <c r="I252" s="5">
        <v>123.083</v>
      </c>
    </row>
    <row r="253" spans="1:26" x14ac:dyDescent="0.25">
      <c r="A253" t="s">
        <v>330</v>
      </c>
      <c r="B253" t="s">
        <v>337</v>
      </c>
      <c r="C253" t="s">
        <v>344</v>
      </c>
      <c r="E253" t="s">
        <v>203</v>
      </c>
      <c r="F253" t="s">
        <v>204</v>
      </c>
      <c r="H253" s="5">
        <v>-12.2</v>
      </c>
      <c r="I253" s="5">
        <v>123.083</v>
      </c>
    </row>
    <row r="254" spans="1:26" x14ac:dyDescent="0.25">
      <c r="A254" t="s">
        <v>330</v>
      </c>
      <c r="B254" t="s">
        <v>337</v>
      </c>
      <c r="C254" t="s">
        <v>345</v>
      </c>
      <c r="E254" t="s">
        <v>203</v>
      </c>
      <c r="F254" t="s">
        <v>204</v>
      </c>
      <c r="H254" s="5">
        <v>-12.2</v>
      </c>
      <c r="I254" s="5">
        <v>123.083</v>
      </c>
    </row>
    <row r="255" spans="1:26" x14ac:dyDescent="0.25">
      <c r="A255" t="s">
        <v>330</v>
      </c>
      <c r="B255" t="s">
        <v>337</v>
      </c>
      <c r="C255" t="s">
        <v>346</v>
      </c>
      <c r="E255" t="s">
        <v>203</v>
      </c>
      <c r="F255" t="s">
        <v>204</v>
      </c>
      <c r="H255" s="5">
        <v>-12.2</v>
      </c>
      <c r="I255" s="5">
        <v>123.083</v>
      </c>
    </row>
    <row r="256" spans="1:26" x14ac:dyDescent="0.25">
      <c r="A256" t="s">
        <v>330</v>
      </c>
      <c r="B256" t="s">
        <v>347</v>
      </c>
      <c r="C256" t="s">
        <v>348</v>
      </c>
      <c r="E256" t="s">
        <v>203</v>
      </c>
      <c r="F256" t="s">
        <v>204</v>
      </c>
      <c r="G256" t="s">
        <v>475</v>
      </c>
      <c r="H256" s="5">
        <v>-13.316193999999999</v>
      </c>
      <c r="I256" s="5">
        <v>130.11035899999999</v>
      </c>
      <c r="Z256" t="s">
        <v>476</v>
      </c>
    </row>
    <row r="257" spans="1:20" x14ac:dyDescent="0.25">
      <c r="A257" t="s">
        <v>330</v>
      </c>
      <c r="B257" t="s">
        <v>347</v>
      </c>
      <c r="C257" t="s">
        <v>349</v>
      </c>
      <c r="E257" t="s">
        <v>203</v>
      </c>
      <c r="F257" t="s">
        <v>204</v>
      </c>
      <c r="H257" s="5">
        <v>-12</v>
      </c>
      <c r="I257" s="5">
        <v>123.4</v>
      </c>
    </row>
    <row r="258" spans="1:20" x14ac:dyDescent="0.25">
      <c r="A258" t="s">
        <v>330</v>
      </c>
      <c r="B258" t="s">
        <v>350</v>
      </c>
      <c r="C258" t="s">
        <v>351</v>
      </c>
      <c r="D258" s="4">
        <v>34937</v>
      </c>
      <c r="E258" t="s">
        <v>203</v>
      </c>
      <c r="F258" t="s">
        <v>204</v>
      </c>
      <c r="H258" s="5">
        <v>-19.7</v>
      </c>
      <c r="I258" s="5">
        <v>116.7</v>
      </c>
    </row>
    <row r="259" spans="1:20" x14ac:dyDescent="0.25">
      <c r="A259" t="s">
        <v>330</v>
      </c>
      <c r="B259" t="s">
        <v>352</v>
      </c>
      <c r="C259" t="s">
        <v>353</v>
      </c>
      <c r="E259" t="s">
        <v>203</v>
      </c>
      <c r="F259" t="s">
        <v>204</v>
      </c>
    </row>
    <row r="260" spans="1:20" x14ac:dyDescent="0.25">
      <c r="A260" t="s">
        <v>330</v>
      </c>
      <c r="B260" t="s">
        <v>337</v>
      </c>
      <c r="C260" t="s">
        <v>354</v>
      </c>
      <c r="D260" s="4">
        <v>37229</v>
      </c>
      <c r="E260" t="s">
        <v>203</v>
      </c>
      <c r="F260" t="s">
        <v>204</v>
      </c>
      <c r="G260" t="s">
        <v>339</v>
      </c>
      <c r="T260" t="s">
        <v>254</v>
      </c>
    </row>
    <row r="261" spans="1:20" x14ac:dyDescent="0.25">
      <c r="A261" t="s">
        <v>330</v>
      </c>
      <c r="B261" t="s">
        <v>352</v>
      </c>
      <c r="C261" t="s">
        <v>355</v>
      </c>
      <c r="E261" t="s">
        <v>203</v>
      </c>
      <c r="F261" t="s">
        <v>204</v>
      </c>
    </row>
    <row r="262" spans="1:20" x14ac:dyDescent="0.25">
      <c r="A262" t="s">
        <v>330</v>
      </c>
      <c r="B262" t="s">
        <v>337</v>
      </c>
      <c r="C262" t="s">
        <v>356</v>
      </c>
      <c r="D262" s="4">
        <v>43038</v>
      </c>
      <c r="E262" t="s">
        <v>203</v>
      </c>
      <c r="F262" t="s">
        <v>204</v>
      </c>
    </row>
    <row r="263" spans="1:20" x14ac:dyDescent="0.25">
      <c r="A263" t="s">
        <v>330</v>
      </c>
      <c r="B263" t="s">
        <v>337</v>
      </c>
      <c r="C263" t="s">
        <v>357</v>
      </c>
      <c r="D263" s="4">
        <v>23377</v>
      </c>
      <c r="E263" t="s">
        <v>203</v>
      </c>
      <c r="F263" t="s">
        <v>204</v>
      </c>
      <c r="H263" s="5">
        <v>-20.6</v>
      </c>
      <c r="I263" s="5">
        <v>117.2</v>
      </c>
    </row>
    <row r="264" spans="1:20" x14ac:dyDescent="0.25">
      <c r="A264" t="s">
        <v>330</v>
      </c>
      <c r="B264" t="s">
        <v>337</v>
      </c>
      <c r="C264" t="s">
        <v>358</v>
      </c>
      <c r="D264" s="4">
        <v>26846</v>
      </c>
      <c r="E264" t="s">
        <v>203</v>
      </c>
      <c r="F264" t="s">
        <v>204</v>
      </c>
      <c r="H264" s="5">
        <v>-22</v>
      </c>
      <c r="I264" s="5">
        <v>114.3</v>
      </c>
    </row>
    <row r="265" spans="1:20" x14ac:dyDescent="0.25">
      <c r="A265" t="s">
        <v>330</v>
      </c>
      <c r="B265" t="s">
        <v>337</v>
      </c>
      <c r="C265" t="s">
        <v>359</v>
      </c>
      <c r="D265" s="4">
        <v>40909</v>
      </c>
      <c r="E265" t="s">
        <v>203</v>
      </c>
      <c r="F265" t="s">
        <v>204</v>
      </c>
    </row>
    <row r="266" spans="1:20" x14ac:dyDescent="0.25">
      <c r="A266" t="s">
        <v>330</v>
      </c>
      <c r="B266" t="s">
        <v>337</v>
      </c>
      <c r="C266" t="s">
        <v>360</v>
      </c>
      <c r="D266" s="4">
        <v>38178</v>
      </c>
      <c r="E266" t="s">
        <v>203</v>
      </c>
      <c r="F266" t="s">
        <v>204</v>
      </c>
      <c r="H266" s="5">
        <v>-22.1</v>
      </c>
      <c r="I266" s="5">
        <v>114.1</v>
      </c>
    </row>
    <row r="267" spans="1:20" x14ac:dyDescent="0.25">
      <c r="A267" t="s">
        <v>330</v>
      </c>
      <c r="B267" t="s">
        <v>337</v>
      </c>
      <c r="C267" t="s">
        <v>361</v>
      </c>
      <c r="D267" s="4">
        <v>29156</v>
      </c>
      <c r="E267" t="s">
        <v>203</v>
      </c>
      <c r="F267" t="s">
        <v>204</v>
      </c>
      <c r="H267" s="5">
        <v>-19.5</v>
      </c>
      <c r="I267" s="5">
        <v>116.7</v>
      </c>
      <c r="T267" t="s">
        <v>254</v>
      </c>
    </row>
    <row r="268" spans="1:20" x14ac:dyDescent="0.25">
      <c r="A268" t="s">
        <v>330</v>
      </c>
      <c r="B268" t="s">
        <v>337</v>
      </c>
      <c r="C268" t="s">
        <v>362</v>
      </c>
      <c r="D268" s="4">
        <v>23774</v>
      </c>
      <c r="E268" t="s">
        <v>203</v>
      </c>
      <c r="F268" t="s">
        <v>204</v>
      </c>
      <c r="H268" s="5">
        <v>-18</v>
      </c>
      <c r="I268" s="5">
        <v>122.2</v>
      </c>
    </row>
    <row r="269" spans="1:20" x14ac:dyDescent="0.25">
      <c r="A269" t="s">
        <v>330</v>
      </c>
      <c r="B269" t="s">
        <v>337</v>
      </c>
      <c r="C269" t="s">
        <v>363</v>
      </c>
      <c r="D269" s="4">
        <v>31675</v>
      </c>
      <c r="E269" t="s">
        <v>203</v>
      </c>
      <c r="F269" t="s">
        <v>204</v>
      </c>
      <c r="H269" s="5">
        <v>-12.3</v>
      </c>
      <c r="I269" s="5">
        <v>123</v>
      </c>
    </row>
    <row r="270" spans="1:20" x14ac:dyDescent="0.25">
      <c r="A270" t="s">
        <v>330</v>
      </c>
      <c r="B270" t="s">
        <v>337</v>
      </c>
      <c r="C270" t="s">
        <v>364</v>
      </c>
      <c r="D270" s="4">
        <v>29156</v>
      </c>
      <c r="E270" t="s">
        <v>203</v>
      </c>
      <c r="F270" t="s">
        <v>204</v>
      </c>
      <c r="H270" s="5">
        <v>-19.600000000000001</v>
      </c>
      <c r="I270" s="5">
        <v>116.7</v>
      </c>
      <c r="T270" t="s">
        <v>253</v>
      </c>
    </row>
    <row r="271" spans="1:20" x14ac:dyDescent="0.25">
      <c r="A271" t="s">
        <v>330</v>
      </c>
      <c r="B271" t="s">
        <v>337</v>
      </c>
      <c r="C271" t="s">
        <v>365</v>
      </c>
      <c r="D271" s="4">
        <v>25934</v>
      </c>
      <c r="E271" t="s">
        <v>203</v>
      </c>
      <c r="F271" t="s">
        <v>204</v>
      </c>
      <c r="H271" s="5">
        <v>-22</v>
      </c>
      <c r="I271" s="5">
        <v>114.3</v>
      </c>
    </row>
    <row r="272" spans="1:20" x14ac:dyDescent="0.25">
      <c r="A272" t="s">
        <v>330</v>
      </c>
      <c r="B272" t="s">
        <v>337</v>
      </c>
      <c r="C272" t="s">
        <v>366</v>
      </c>
      <c r="D272" s="4">
        <v>24838</v>
      </c>
      <c r="E272" t="s">
        <v>203</v>
      </c>
      <c r="F272" t="s">
        <v>204</v>
      </c>
      <c r="H272" s="5">
        <v>-22</v>
      </c>
      <c r="I272" s="5">
        <v>114.3</v>
      </c>
    </row>
    <row r="273" spans="1:20" x14ac:dyDescent="0.25">
      <c r="A273" t="s">
        <v>330</v>
      </c>
      <c r="B273" t="s">
        <v>337</v>
      </c>
      <c r="C273" t="s">
        <v>367</v>
      </c>
      <c r="D273" s="4">
        <v>27334</v>
      </c>
      <c r="E273" t="s">
        <v>203</v>
      </c>
      <c r="F273" t="s">
        <v>204</v>
      </c>
      <c r="H273" s="5">
        <v>-22</v>
      </c>
      <c r="I273" s="5">
        <v>114.3</v>
      </c>
    </row>
    <row r="274" spans="1:20" x14ac:dyDescent="0.25">
      <c r="A274" t="s">
        <v>330</v>
      </c>
      <c r="B274" t="s">
        <v>337</v>
      </c>
      <c r="C274" t="s">
        <v>368</v>
      </c>
      <c r="D274" s="4">
        <v>31673</v>
      </c>
      <c r="E274" t="s">
        <v>203</v>
      </c>
      <c r="F274" t="s">
        <v>204</v>
      </c>
      <c r="H274" s="5">
        <v>-12.3</v>
      </c>
      <c r="I274" s="5">
        <v>123</v>
      </c>
    </row>
    <row r="275" spans="1:20" x14ac:dyDescent="0.25">
      <c r="A275" t="s">
        <v>330</v>
      </c>
      <c r="B275" t="s">
        <v>337</v>
      </c>
      <c r="C275" t="s">
        <v>369</v>
      </c>
      <c r="D275" s="4">
        <v>38058</v>
      </c>
      <c r="E275" t="s">
        <v>203</v>
      </c>
      <c r="F275" t="s">
        <v>204</v>
      </c>
      <c r="H275" s="5">
        <v>-22</v>
      </c>
      <c r="I275" s="5">
        <v>114.3</v>
      </c>
      <c r="T275" t="s">
        <v>253</v>
      </c>
    </row>
    <row r="276" spans="1:20" x14ac:dyDescent="0.25">
      <c r="A276" t="s">
        <v>330</v>
      </c>
      <c r="B276" t="s">
        <v>337</v>
      </c>
      <c r="C276" t="s">
        <v>370</v>
      </c>
      <c r="D276" s="4">
        <v>23903</v>
      </c>
      <c r="E276" t="s">
        <v>203</v>
      </c>
      <c r="F276" t="s">
        <v>204</v>
      </c>
      <c r="H276" s="5">
        <v>-22</v>
      </c>
      <c r="I276" s="5">
        <v>114.3</v>
      </c>
    </row>
    <row r="277" spans="1:20" x14ac:dyDescent="0.25">
      <c r="A277" t="s">
        <v>330</v>
      </c>
      <c r="B277" t="s">
        <v>331</v>
      </c>
      <c r="C277" t="s">
        <v>371</v>
      </c>
      <c r="D277" s="4">
        <v>29156</v>
      </c>
      <c r="E277" t="s">
        <v>203</v>
      </c>
      <c r="F277" t="s">
        <v>204</v>
      </c>
      <c r="H277" s="5">
        <v>-19.583300000000001</v>
      </c>
      <c r="I277" s="5">
        <v>116.66670000000001</v>
      </c>
      <c r="T277" t="s">
        <v>253</v>
      </c>
    </row>
    <row r="278" spans="1:20" x14ac:dyDescent="0.25">
      <c r="A278" t="s">
        <v>330</v>
      </c>
      <c r="B278" t="s">
        <v>331</v>
      </c>
      <c r="C278" t="s">
        <v>372</v>
      </c>
      <c r="D278" s="4">
        <v>38058</v>
      </c>
      <c r="E278" t="s">
        <v>203</v>
      </c>
      <c r="F278" t="s">
        <v>204</v>
      </c>
      <c r="H278" s="5">
        <v>-22</v>
      </c>
      <c r="I278" s="5">
        <v>114.3</v>
      </c>
      <c r="T278" t="s">
        <v>253</v>
      </c>
    </row>
    <row r="279" spans="1:20" x14ac:dyDescent="0.25">
      <c r="A279" t="s">
        <v>330</v>
      </c>
      <c r="B279" t="s">
        <v>331</v>
      </c>
      <c r="C279" t="s">
        <v>373</v>
      </c>
      <c r="D279" s="4">
        <v>26665</v>
      </c>
      <c r="E279" t="s">
        <v>203</v>
      </c>
      <c r="F279" t="s">
        <v>204</v>
      </c>
      <c r="H279" s="5">
        <v>-12.2</v>
      </c>
      <c r="I279" s="5">
        <v>123.08333</v>
      </c>
    </row>
    <row r="280" spans="1:20" x14ac:dyDescent="0.25">
      <c r="A280" t="s">
        <v>330</v>
      </c>
      <c r="B280" t="s">
        <v>331</v>
      </c>
      <c r="C280" t="s">
        <v>374</v>
      </c>
      <c r="D280" s="4">
        <v>27334</v>
      </c>
      <c r="E280" t="s">
        <v>203</v>
      </c>
      <c r="F280" t="s">
        <v>204</v>
      </c>
      <c r="H280" s="5">
        <v>-22</v>
      </c>
      <c r="I280" s="5">
        <v>114.3</v>
      </c>
    </row>
    <row r="281" spans="1:20" x14ac:dyDescent="0.25">
      <c r="A281" t="s">
        <v>330</v>
      </c>
      <c r="B281" t="s">
        <v>331</v>
      </c>
      <c r="C281" t="s">
        <v>375</v>
      </c>
      <c r="D281" s="4">
        <v>26846</v>
      </c>
      <c r="E281" t="s">
        <v>203</v>
      </c>
      <c r="F281" t="s">
        <v>204</v>
      </c>
      <c r="H281" s="5">
        <v>-22</v>
      </c>
      <c r="I281" s="5">
        <v>114.3</v>
      </c>
    </row>
    <row r="282" spans="1:20" x14ac:dyDescent="0.25">
      <c r="A282" t="s">
        <v>330</v>
      </c>
      <c r="B282" t="s">
        <v>331</v>
      </c>
      <c r="C282" t="s">
        <v>376</v>
      </c>
      <c r="D282" s="4">
        <v>26665</v>
      </c>
      <c r="E282" t="s">
        <v>203</v>
      </c>
      <c r="F282" t="s">
        <v>204</v>
      </c>
      <c r="H282" s="5">
        <v>-12.2</v>
      </c>
      <c r="I282" s="5">
        <v>123.08333</v>
      </c>
    </row>
    <row r="283" spans="1:20" x14ac:dyDescent="0.25">
      <c r="A283" t="s">
        <v>330</v>
      </c>
      <c r="B283" t="s">
        <v>331</v>
      </c>
      <c r="C283" t="s">
        <v>377</v>
      </c>
      <c r="E283" t="s">
        <v>203</v>
      </c>
      <c r="F283" t="s">
        <v>204</v>
      </c>
      <c r="H283" s="5">
        <v>-12.2</v>
      </c>
      <c r="I283" s="5">
        <v>123.08333</v>
      </c>
    </row>
    <row r="284" spans="1:20" x14ac:dyDescent="0.25">
      <c r="A284" t="s">
        <v>330</v>
      </c>
      <c r="B284" t="s">
        <v>331</v>
      </c>
      <c r="C284" t="s">
        <v>378</v>
      </c>
      <c r="D284" s="4">
        <v>23377</v>
      </c>
      <c r="E284" t="s">
        <v>203</v>
      </c>
      <c r="F284" t="s">
        <v>204</v>
      </c>
      <c r="H284" s="5">
        <v>-20.6</v>
      </c>
      <c r="I284" s="5">
        <v>117.2</v>
      </c>
    </row>
    <row r="285" spans="1:20" x14ac:dyDescent="0.25">
      <c r="A285" t="s">
        <v>330</v>
      </c>
      <c r="B285" t="s">
        <v>331</v>
      </c>
      <c r="C285" t="s">
        <v>379</v>
      </c>
      <c r="D285" s="4">
        <v>38178</v>
      </c>
      <c r="E285" t="s">
        <v>203</v>
      </c>
      <c r="F285" t="s">
        <v>204</v>
      </c>
      <c r="H285" s="5">
        <v>-22.1</v>
      </c>
      <c r="I285" s="5">
        <v>114.1</v>
      </c>
    </row>
    <row r="286" spans="1:20" x14ac:dyDescent="0.25">
      <c r="A286" t="s">
        <v>330</v>
      </c>
      <c r="B286" t="s">
        <v>331</v>
      </c>
      <c r="C286" t="s">
        <v>380</v>
      </c>
      <c r="D286" s="4">
        <v>24838</v>
      </c>
      <c r="E286" t="s">
        <v>203</v>
      </c>
      <c r="F286" t="s">
        <v>204</v>
      </c>
      <c r="H286" s="5">
        <v>-22</v>
      </c>
      <c r="I286" s="5">
        <v>114.3</v>
      </c>
    </row>
    <row r="287" spans="1:20" x14ac:dyDescent="0.25">
      <c r="A287" t="s">
        <v>330</v>
      </c>
      <c r="B287" t="s">
        <v>331</v>
      </c>
      <c r="C287" t="s">
        <v>381</v>
      </c>
      <c r="E287" t="s">
        <v>203</v>
      </c>
      <c r="F287" t="s">
        <v>204</v>
      </c>
      <c r="H287" s="5">
        <v>-12.2</v>
      </c>
      <c r="I287" s="5">
        <v>123.08333</v>
      </c>
    </row>
    <row r="288" spans="1:20" x14ac:dyDescent="0.25">
      <c r="A288" t="s">
        <v>330</v>
      </c>
      <c r="B288" t="s">
        <v>331</v>
      </c>
      <c r="C288" t="s">
        <v>382</v>
      </c>
      <c r="D288" s="4">
        <v>29156</v>
      </c>
      <c r="E288" t="s">
        <v>203</v>
      </c>
      <c r="F288" t="s">
        <v>204</v>
      </c>
      <c r="H288" s="5">
        <v>-19.55</v>
      </c>
      <c r="I288" s="5">
        <v>116.6833</v>
      </c>
      <c r="T288" t="s">
        <v>254</v>
      </c>
    </row>
    <row r="289" spans="1:9" x14ac:dyDescent="0.25">
      <c r="A289" t="s">
        <v>330</v>
      </c>
      <c r="B289" t="s">
        <v>331</v>
      </c>
      <c r="C289" t="s">
        <v>383</v>
      </c>
      <c r="E289" t="s">
        <v>203</v>
      </c>
      <c r="F289" t="s">
        <v>204</v>
      </c>
      <c r="H289" s="5">
        <v>-12.2</v>
      </c>
      <c r="I289" s="5">
        <v>123.08333</v>
      </c>
    </row>
    <row r="290" spans="1:9" x14ac:dyDescent="0.25">
      <c r="A290" t="s">
        <v>330</v>
      </c>
      <c r="B290" t="s">
        <v>331</v>
      </c>
      <c r="C290" t="s">
        <v>384</v>
      </c>
      <c r="D290" s="4">
        <v>23774</v>
      </c>
      <c r="E290" t="s">
        <v>203</v>
      </c>
      <c r="F290" t="s">
        <v>204</v>
      </c>
      <c r="H290" s="5">
        <v>-18</v>
      </c>
      <c r="I290" s="5">
        <v>122.2</v>
      </c>
    </row>
    <row r="291" spans="1:9" x14ac:dyDescent="0.25">
      <c r="A291" t="s">
        <v>330</v>
      </c>
      <c r="B291" t="s">
        <v>331</v>
      </c>
      <c r="C291" t="s">
        <v>385</v>
      </c>
      <c r="D291" s="4">
        <v>23903</v>
      </c>
      <c r="E291" t="s">
        <v>203</v>
      </c>
      <c r="F291" t="s">
        <v>204</v>
      </c>
      <c r="H291" s="5">
        <v>-22</v>
      </c>
      <c r="I291" s="5">
        <v>114.3</v>
      </c>
    </row>
    <row r="292" spans="1:9" x14ac:dyDescent="0.25">
      <c r="A292" t="s">
        <v>330</v>
      </c>
      <c r="B292" t="s">
        <v>331</v>
      </c>
      <c r="C292" t="s">
        <v>386</v>
      </c>
      <c r="D292" s="4">
        <v>25934</v>
      </c>
      <c r="E292" t="s">
        <v>203</v>
      </c>
      <c r="F292" t="s">
        <v>204</v>
      </c>
      <c r="H292" s="5">
        <v>-22</v>
      </c>
      <c r="I292" s="5">
        <v>114.3</v>
      </c>
    </row>
    <row r="293" spans="1:9" x14ac:dyDescent="0.25">
      <c r="A293" t="s">
        <v>330</v>
      </c>
      <c r="B293" t="s">
        <v>331</v>
      </c>
      <c r="C293" t="s">
        <v>387</v>
      </c>
      <c r="E293" t="s">
        <v>203</v>
      </c>
      <c r="F293" t="s">
        <v>204</v>
      </c>
      <c r="H293" s="5">
        <v>-12.2</v>
      </c>
      <c r="I293" s="5">
        <v>123.08333</v>
      </c>
    </row>
    <row r="294" spans="1:9" x14ac:dyDescent="0.25">
      <c r="A294" t="s">
        <v>330</v>
      </c>
      <c r="B294" t="s">
        <v>331</v>
      </c>
      <c r="C294" t="s">
        <v>388</v>
      </c>
      <c r="E294" t="s">
        <v>203</v>
      </c>
      <c r="F294" t="s">
        <v>240</v>
      </c>
      <c r="H294" s="5">
        <v>-12.2</v>
      </c>
      <c r="I294" s="5">
        <v>122.9</v>
      </c>
    </row>
    <row r="295" spans="1:9" x14ac:dyDescent="0.25">
      <c r="A295" t="s">
        <v>330</v>
      </c>
      <c r="B295" t="s">
        <v>331</v>
      </c>
      <c r="C295" t="s">
        <v>389</v>
      </c>
      <c r="E295" t="s">
        <v>203</v>
      </c>
      <c r="F295" t="s">
        <v>240</v>
      </c>
      <c r="H295" s="5">
        <v>-12.2</v>
      </c>
      <c r="I295" s="5">
        <v>123.1</v>
      </c>
    </row>
    <row r="296" spans="1:9" x14ac:dyDescent="0.25">
      <c r="A296" t="s">
        <v>330</v>
      </c>
      <c r="B296" t="s">
        <v>331</v>
      </c>
      <c r="C296" t="s">
        <v>390</v>
      </c>
      <c r="E296" t="s">
        <v>203</v>
      </c>
      <c r="F296" t="s">
        <v>240</v>
      </c>
      <c r="H296" s="5">
        <v>-12.2</v>
      </c>
      <c r="I296" s="5">
        <v>123.1</v>
      </c>
    </row>
    <row r="297" spans="1:9" x14ac:dyDescent="0.25">
      <c r="A297" t="s">
        <v>330</v>
      </c>
      <c r="B297" t="s">
        <v>331</v>
      </c>
      <c r="C297" t="s">
        <v>391</v>
      </c>
      <c r="E297" t="s">
        <v>203</v>
      </c>
      <c r="F297" t="s">
        <v>240</v>
      </c>
      <c r="H297" s="5">
        <v>-12.2</v>
      </c>
      <c r="I297" s="5">
        <v>122.9</v>
      </c>
    </row>
    <row r="298" spans="1:9" x14ac:dyDescent="0.25">
      <c r="A298" t="s">
        <v>330</v>
      </c>
      <c r="B298" t="s">
        <v>331</v>
      </c>
      <c r="C298" t="s">
        <v>392</v>
      </c>
      <c r="E298" t="s">
        <v>203</v>
      </c>
      <c r="F298" t="s">
        <v>240</v>
      </c>
      <c r="H298" s="5">
        <v>-12.2</v>
      </c>
      <c r="I298" s="5">
        <v>122.9</v>
      </c>
    </row>
    <row r="299" spans="1:9" x14ac:dyDescent="0.25">
      <c r="A299" t="s">
        <v>330</v>
      </c>
      <c r="B299" t="s">
        <v>337</v>
      </c>
      <c r="C299" t="s">
        <v>393</v>
      </c>
      <c r="E299" t="s">
        <v>203</v>
      </c>
      <c r="F299" t="s">
        <v>240</v>
      </c>
    </row>
    <row r="300" spans="1:9" x14ac:dyDescent="0.25">
      <c r="A300" t="s">
        <v>330</v>
      </c>
      <c r="B300" t="s">
        <v>337</v>
      </c>
      <c r="C300" t="s">
        <v>394</v>
      </c>
      <c r="E300" t="s">
        <v>203</v>
      </c>
      <c r="F300" t="s">
        <v>240</v>
      </c>
      <c r="H300" s="5">
        <v>-12.2</v>
      </c>
      <c r="I300" s="5">
        <v>123.083</v>
      </c>
    </row>
    <row r="301" spans="1:9" x14ac:dyDescent="0.25">
      <c r="A301" t="s">
        <v>330</v>
      </c>
      <c r="B301" t="s">
        <v>337</v>
      </c>
      <c r="C301" t="s">
        <v>395</v>
      </c>
      <c r="E301" t="s">
        <v>203</v>
      </c>
      <c r="F301" t="s">
        <v>240</v>
      </c>
      <c r="H301" s="5">
        <v>-12.2</v>
      </c>
      <c r="I301" s="5">
        <v>123.083</v>
      </c>
    </row>
    <row r="302" spans="1:9" x14ac:dyDescent="0.25">
      <c r="A302" t="s">
        <v>330</v>
      </c>
      <c r="B302" t="s">
        <v>337</v>
      </c>
      <c r="C302" t="s">
        <v>396</v>
      </c>
      <c r="E302" t="s">
        <v>203</v>
      </c>
      <c r="F302" t="s">
        <v>240</v>
      </c>
      <c r="H302" s="5">
        <v>-12.2</v>
      </c>
      <c r="I302" s="5">
        <v>123.083</v>
      </c>
    </row>
    <row r="303" spans="1:9" x14ac:dyDescent="0.25">
      <c r="A303" t="s">
        <v>330</v>
      </c>
      <c r="B303" t="s">
        <v>337</v>
      </c>
      <c r="C303" t="s">
        <v>397</v>
      </c>
      <c r="E303" t="s">
        <v>203</v>
      </c>
      <c r="F303" t="s">
        <v>240</v>
      </c>
      <c r="H303" s="5">
        <v>-12.2</v>
      </c>
      <c r="I303" s="5">
        <v>123.083</v>
      </c>
    </row>
    <row r="304" spans="1:9" x14ac:dyDescent="0.25">
      <c r="A304" t="s">
        <v>330</v>
      </c>
      <c r="B304" t="s">
        <v>337</v>
      </c>
      <c r="C304" t="s">
        <v>398</v>
      </c>
      <c r="E304" t="s">
        <v>203</v>
      </c>
      <c r="F304" t="s">
        <v>240</v>
      </c>
      <c r="H304" s="5">
        <v>-12</v>
      </c>
      <c r="I304" s="5">
        <v>123.383</v>
      </c>
    </row>
    <row r="305" spans="1:9" x14ac:dyDescent="0.25">
      <c r="A305" t="s">
        <v>330</v>
      </c>
      <c r="B305" t="s">
        <v>337</v>
      </c>
      <c r="C305" t="s">
        <v>399</v>
      </c>
      <c r="E305" t="s">
        <v>203</v>
      </c>
      <c r="F305" t="s">
        <v>240</v>
      </c>
      <c r="H305" s="5">
        <v>-12.233000000000001</v>
      </c>
      <c r="I305" s="5">
        <v>123.083</v>
      </c>
    </row>
    <row r="306" spans="1:9" x14ac:dyDescent="0.25">
      <c r="A306" t="s">
        <v>330</v>
      </c>
      <c r="B306" t="s">
        <v>337</v>
      </c>
      <c r="C306" t="s">
        <v>400</v>
      </c>
      <c r="D306" s="4">
        <v>26664</v>
      </c>
      <c r="E306" t="s">
        <v>203</v>
      </c>
      <c r="F306" t="s">
        <v>240</v>
      </c>
      <c r="H306" s="5">
        <v>-12.2</v>
      </c>
      <c r="I306" s="5">
        <v>123.083</v>
      </c>
    </row>
    <row r="307" spans="1:9" x14ac:dyDescent="0.25">
      <c r="A307" t="s">
        <v>330</v>
      </c>
      <c r="B307" t="s">
        <v>337</v>
      </c>
      <c r="C307" t="s">
        <v>401</v>
      </c>
      <c r="E307" t="s">
        <v>203</v>
      </c>
      <c r="F307" t="s">
        <v>240</v>
      </c>
      <c r="H307" s="5">
        <v>-12.2</v>
      </c>
      <c r="I307" s="5">
        <v>123.083</v>
      </c>
    </row>
    <row r="308" spans="1:9" x14ac:dyDescent="0.25">
      <c r="A308" t="s">
        <v>330</v>
      </c>
      <c r="B308" t="s">
        <v>337</v>
      </c>
      <c r="C308" t="s">
        <v>402</v>
      </c>
      <c r="E308" t="s">
        <v>203</v>
      </c>
      <c r="F308" t="s">
        <v>240</v>
      </c>
      <c r="H308" s="5">
        <v>-12.2</v>
      </c>
      <c r="I308" s="5">
        <v>123.083</v>
      </c>
    </row>
    <row r="309" spans="1:9" x14ac:dyDescent="0.25">
      <c r="A309" t="s">
        <v>330</v>
      </c>
      <c r="B309" t="s">
        <v>337</v>
      </c>
      <c r="C309" t="s">
        <v>403</v>
      </c>
      <c r="E309" t="s">
        <v>203</v>
      </c>
      <c r="F309" t="s">
        <v>240</v>
      </c>
      <c r="H309" s="5">
        <v>-12.2</v>
      </c>
      <c r="I309" s="5">
        <v>123.083</v>
      </c>
    </row>
    <row r="310" spans="1:9" x14ac:dyDescent="0.25">
      <c r="A310" t="s">
        <v>330</v>
      </c>
      <c r="B310" t="s">
        <v>337</v>
      </c>
      <c r="C310" t="s">
        <v>404</v>
      </c>
      <c r="E310" t="s">
        <v>203</v>
      </c>
      <c r="F310" t="s">
        <v>240</v>
      </c>
      <c r="H310" s="5">
        <v>-12.2</v>
      </c>
      <c r="I310" s="5">
        <v>123.083</v>
      </c>
    </row>
    <row r="311" spans="1:9" x14ac:dyDescent="0.25">
      <c r="A311" t="s">
        <v>330</v>
      </c>
      <c r="B311" t="s">
        <v>337</v>
      </c>
      <c r="C311" t="s">
        <v>405</v>
      </c>
      <c r="D311" s="4">
        <v>30036</v>
      </c>
      <c r="E311" t="s">
        <v>203</v>
      </c>
      <c r="F311" t="s">
        <v>240</v>
      </c>
      <c r="H311" s="5">
        <v>-19.600000000000001</v>
      </c>
      <c r="I311" s="5">
        <v>118.1</v>
      </c>
    </row>
    <row r="312" spans="1:9" x14ac:dyDescent="0.25">
      <c r="A312" t="s">
        <v>330</v>
      </c>
      <c r="B312" t="s">
        <v>337</v>
      </c>
      <c r="C312" t="s">
        <v>406</v>
      </c>
      <c r="E312" t="s">
        <v>203</v>
      </c>
      <c r="F312" t="s">
        <v>240</v>
      </c>
      <c r="H312" s="5">
        <v>-12.2</v>
      </c>
      <c r="I312" s="5">
        <v>123.083</v>
      </c>
    </row>
    <row r="313" spans="1:9" x14ac:dyDescent="0.25">
      <c r="A313" t="s">
        <v>330</v>
      </c>
      <c r="B313" t="s">
        <v>337</v>
      </c>
      <c r="C313" t="s">
        <v>407</v>
      </c>
      <c r="E313" t="s">
        <v>203</v>
      </c>
      <c r="F313" t="s">
        <v>240</v>
      </c>
      <c r="H313" s="5">
        <v>-12.25</v>
      </c>
      <c r="I313" s="5">
        <v>123.083</v>
      </c>
    </row>
    <row r="314" spans="1:9" x14ac:dyDescent="0.25">
      <c r="A314" t="s">
        <v>330</v>
      </c>
      <c r="B314" t="s">
        <v>337</v>
      </c>
      <c r="C314" t="s">
        <v>408</v>
      </c>
      <c r="E314" t="s">
        <v>203</v>
      </c>
      <c r="F314" t="s">
        <v>240</v>
      </c>
      <c r="H314" s="5">
        <v>-12.2</v>
      </c>
      <c r="I314" s="5">
        <v>123.083</v>
      </c>
    </row>
    <row r="315" spans="1:9" x14ac:dyDescent="0.25">
      <c r="A315" t="s">
        <v>330</v>
      </c>
      <c r="B315" t="s">
        <v>337</v>
      </c>
      <c r="C315" t="s">
        <v>409</v>
      </c>
      <c r="E315" t="s">
        <v>203</v>
      </c>
      <c r="F315" t="s">
        <v>240</v>
      </c>
      <c r="H315" s="5">
        <v>-12.2</v>
      </c>
      <c r="I315" s="5">
        <v>123.083</v>
      </c>
    </row>
    <row r="316" spans="1:9" x14ac:dyDescent="0.25">
      <c r="A316" t="s">
        <v>330</v>
      </c>
      <c r="B316" t="s">
        <v>337</v>
      </c>
      <c r="C316" t="s">
        <v>410</v>
      </c>
      <c r="E316" t="s">
        <v>203</v>
      </c>
      <c r="F316" t="s">
        <v>240</v>
      </c>
      <c r="H316" s="5">
        <v>-12.2</v>
      </c>
      <c r="I316" s="5">
        <v>123.083</v>
      </c>
    </row>
    <row r="317" spans="1:9" x14ac:dyDescent="0.25">
      <c r="A317" t="s">
        <v>330</v>
      </c>
      <c r="B317" t="s">
        <v>337</v>
      </c>
      <c r="C317" t="s">
        <v>411</v>
      </c>
      <c r="E317" t="s">
        <v>203</v>
      </c>
      <c r="F317" t="s">
        <v>240</v>
      </c>
      <c r="H317" s="5">
        <v>-12.2</v>
      </c>
      <c r="I317" s="5">
        <v>123.083</v>
      </c>
    </row>
    <row r="318" spans="1:9" x14ac:dyDescent="0.25">
      <c r="A318" t="s">
        <v>330</v>
      </c>
      <c r="B318" t="s">
        <v>337</v>
      </c>
      <c r="C318" t="s">
        <v>412</v>
      </c>
      <c r="D318" s="4">
        <v>26664</v>
      </c>
      <c r="E318" t="s">
        <v>203</v>
      </c>
      <c r="F318" t="s">
        <v>240</v>
      </c>
      <c r="H318" s="5">
        <v>-12.2</v>
      </c>
      <c r="I318" s="5">
        <v>123.083</v>
      </c>
    </row>
    <row r="319" spans="1:9" x14ac:dyDescent="0.25">
      <c r="A319" t="s">
        <v>330</v>
      </c>
      <c r="B319" t="s">
        <v>337</v>
      </c>
      <c r="C319" t="s">
        <v>413</v>
      </c>
      <c r="D319" s="4">
        <v>27029</v>
      </c>
      <c r="E319" t="s">
        <v>203</v>
      </c>
      <c r="F319" t="s">
        <v>240</v>
      </c>
      <c r="H319" s="5">
        <v>-12.2</v>
      </c>
      <c r="I319" s="5">
        <v>123.083</v>
      </c>
    </row>
    <row r="320" spans="1:9" x14ac:dyDescent="0.25">
      <c r="A320" t="s">
        <v>330</v>
      </c>
      <c r="B320" t="s">
        <v>337</v>
      </c>
      <c r="C320" t="s">
        <v>414</v>
      </c>
      <c r="E320" t="s">
        <v>203</v>
      </c>
      <c r="F320" t="s">
        <v>240</v>
      </c>
      <c r="H320" s="5">
        <v>-12.2</v>
      </c>
      <c r="I320" s="5">
        <v>123.083</v>
      </c>
    </row>
    <row r="321" spans="1:20" x14ac:dyDescent="0.25">
      <c r="A321" t="s">
        <v>330</v>
      </c>
      <c r="B321" t="s">
        <v>337</v>
      </c>
      <c r="C321" t="s">
        <v>415</v>
      </c>
      <c r="E321" t="s">
        <v>203</v>
      </c>
      <c r="F321" t="s">
        <v>240</v>
      </c>
      <c r="H321" s="5">
        <v>-12.2</v>
      </c>
      <c r="I321" s="5">
        <v>123.083</v>
      </c>
    </row>
    <row r="322" spans="1:20" x14ac:dyDescent="0.25">
      <c r="A322" t="s">
        <v>330</v>
      </c>
      <c r="B322" t="s">
        <v>337</v>
      </c>
      <c r="C322" t="s">
        <v>416</v>
      </c>
      <c r="D322" s="4">
        <v>26670</v>
      </c>
      <c r="E322" t="s">
        <v>203</v>
      </c>
      <c r="F322" t="s">
        <v>240</v>
      </c>
      <c r="H322" s="5">
        <v>-12.2</v>
      </c>
      <c r="I322" s="5">
        <v>123.083</v>
      </c>
    </row>
    <row r="323" spans="1:20" x14ac:dyDescent="0.25">
      <c r="A323" t="s">
        <v>330</v>
      </c>
      <c r="B323" t="s">
        <v>337</v>
      </c>
      <c r="C323" t="s">
        <v>417</v>
      </c>
      <c r="E323" t="s">
        <v>203</v>
      </c>
      <c r="F323" t="s">
        <v>240</v>
      </c>
      <c r="H323" s="5">
        <v>-12.2</v>
      </c>
      <c r="I323" s="5">
        <v>123.083</v>
      </c>
    </row>
    <row r="324" spans="1:20" x14ac:dyDescent="0.25">
      <c r="A324" t="s">
        <v>330</v>
      </c>
      <c r="B324" t="s">
        <v>337</v>
      </c>
      <c r="C324" t="s">
        <v>418</v>
      </c>
      <c r="E324" t="s">
        <v>203</v>
      </c>
      <c r="F324" t="s">
        <v>240</v>
      </c>
      <c r="H324" s="5">
        <v>-12.25</v>
      </c>
      <c r="I324" s="5">
        <v>123</v>
      </c>
    </row>
    <row r="325" spans="1:20" x14ac:dyDescent="0.25">
      <c r="A325" t="s">
        <v>330</v>
      </c>
      <c r="B325" t="s">
        <v>337</v>
      </c>
      <c r="C325" t="s">
        <v>419</v>
      </c>
      <c r="E325" t="s">
        <v>203</v>
      </c>
      <c r="F325" t="s">
        <v>240</v>
      </c>
      <c r="H325" s="5">
        <v>-12.2</v>
      </c>
      <c r="I325" s="5">
        <v>123.083</v>
      </c>
    </row>
    <row r="326" spans="1:20" x14ac:dyDescent="0.25">
      <c r="A326" t="s">
        <v>330</v>
      </c>
      <c r="B326" t="s">
        <v>337</v>
      </c>
      <c r="C326" t="s">
        <v>420</v>
      </c>
      <c r="E326" t="s">
        <v>203</v>
      </c>
      <c r="F326" t="s">
        <v>240</v>
      </c>
      <c r="H326" s="5">
        <v>-12.2</v>
      </c>
      <c r="I326" s="5">
        <v>123.083</v>
      </c>
    </row>
    <row r="327" spans="1:20" x14ac:dyDescent="0.25">
      <c r="A327" t="s">
        <v>330</v>
      </c>
      <c r="B327" t="s">
        <v>347</v>
      </c>
      <c r="C327" t="s">
        <v>421</v>
      </c>
      <c r="D327" s="4">
        <v>33736</v>
      </c>
      <c r="E327" t="s">
        <v>203</v>
      </c>
      <c r="F327" t="s">
        <v>240</v>
      </c>
      <c r="H327" s="5">
        <v>-12</v>
      </c>
      <c r="I327" s="5">
        <v>123.4</v>
      </c>
    </row>
    <row r="328" spans="1:20" x14ac:dyDescent="0.25">
      <c r="A328" t="s">
        <v>330</v>
      </c>
      <c r="B328" t="s">
        <v>347</v>
      </c>
      <c r="C328" t="s">
        <v>422</v>
      </c>
      <c r="D328" s="4">
        <v>33737</v>
      </c>
      <c r="E328" t="s">
        <v>203</v>
      </c>
      <c r="F328" t="s">
        <v>240</v>
      </c>
      <c r="H328" s="5">
        <v>-12</v>
      </c>
      <c r="I328" s="5">
        <v>123.4</v>
      </c>
    </row>
    <row r="329" spans="1:20" x14ac:dyDescent="0.25">
      <c r="A329" t="s">
        <v>330</v>
      </c>
      <c r="B329" t="s">
        <v>347</v>
      </c>
      <c r="C329" t="s">
        <v>423</v>
      </c>
      <c r="D329" s="4">
        <v>31623</v>
      </c>
      <c r="E329" t="s">
        <v>203</v>
      </c>
      <c r="F329" t="s">
        <v>240</v>
      </c>
      <c r="H329" s="5">
        <v>-12.2</v>
      </c>
      <c r="I329" s="5">
        <v>123</v>
      </c>
    </row>
    <row r="330" spans="1:20" x14ac:dyDescent="0.25">
      <c r="A330" t="s">
        <v>330</v>
      </c>
      <c r="B330" t="s">
        <v>347</v>
      </c>
      <c r="C330" t="s">
        <v>424</v>
      </c>
      <c r="D330" s="4">
        <v>33737</v>
      </c>
      <c r="E330" t="s">
        <v>203</v>
      </c>
      <c r="F330" t="s">
        <v>240</v>
      </c>
      <c r="H330" s="5">
        <v>-12</v>
      </c>
      <c r="I330" s="5">
        <v>123.4</v>
      </c>
    </row>
    <row r="331" spans="1:20" x14ac:dyDescent="0.25">
      <c r="A331" t="s">
        <v>330</v>
      </c>
      <c r="B331" t="s">
        <v>347</v>
      </c>
      <c r="C331" t="s">
        <v>425</v>
      </c>
      <c r="D331" s="4">
        <v>31615</v>
      </c>
      <c r="E331" t="s">
        <v>203</v>
      </c>
      <c r="F331" t="s">
        <v>240</v>
      </c>
      <c r="H331" s="5">
        <v>-12.2</v>
      </c>
      <c r="I331" s="5">
        <v>123</v>
      </c>
    </row>
    <row r="332" spans="1:20" x14ac:dyDescent="0.25">
      <c r="A332" t="s">
        <v>330</v>
      </c>
      <c r="B332" t="s">
        <v>347</v>
      </c>
      <c r="C332" t="s">
        <v>426</v>
      </c>
      <c r="D332" s="4">
        <v>33737</v>
      </c>
      <c r="E332" t="s">
        <v>203</v>
      </c>
      <c r="F332" t="s">
        <v>240</v>
      </c>
      <c r="H332" s="5">
        <v>-12</v>
      </c>
      <c r="I332" s="5">
        <v>123.4</v>
      </c>
    </row>
    <row r="333" spans="1:20" x14ac:dyDescent="0.25">
      <c r="A333" t="s">
        <v>330</v>
      </c>
      <c r="B333" t="s">
        <v>337</v>
      </c>
      <c r="C333" t="s">
        <v>427</v>
      </c>
      <c r="D333" s="4">
        <v>37229</v>
      </c>
      <c r="E333" t="s">
        <v>203</v>
      </c>
      <c r="F333" t="s">
        <v>240</v>
      </c>
      <c r="G333" t="s">
        <v>339</v>
      </c>
      <c r="T333" t="s">
        <v>254</v>
      </c>
    </row>
    <row r="334" spans="1:20" x14ac:dyDescent="0.25">
      <c r="A334" t="s">
        <v>330</v>
      </c>
      <c r="B334" t="s">
        <v>337</v>
      </c>
      <c r="C334" t="s">
        <v>428</v>
      </c>
      <c r="D334" s="4">
        <v>37229</v>
      </c>
      <c r="E334" t="s">
        <v>203</v>
      </c>
      <c r="F334" t="s">
        <v>240</v>
      </c>
      <c r="G334" t="s">
        <v>339</v>
      </c>
      <c r="T334" t="s">
        <v>254</v>
      </c>
    </row>
    <row r="335" spans="1:20" x14ac:dyDescent="0.25">
      <c r="A335" t="s">
        <v>330</v>
      </c>
      <c r="B335" t="s">
        <v>337</v>
      </c>
      <c r="C335" t="s">
        <v>429</v>
      </c>
      <c r="D335" s="4">
        <v>37229</v>
      </c>
      <c r="E335" t="s">
        <v>203</v>
      </c>
      <c r="F335" t="s">
        <v>240</v>
      </c>
      <c r="G335" t="s">
        <v>339</v>
      </c>
      <c r="T335" t="s">
        <v>253</v>
      </c>
    </row>
    <row r="336" spans="1:20" x14ac:dyDescent="0.25">
      <c r="A336" t="s">
        <v>330</v>
      </c>
      <c r="B336" t="s">
        <v>337</v>
      </c>
      <c r="C336" t="s">
        <v>430</v>
      </c>
      <c r="D336" s="4">
        <v>37229</v>
      </c>
      <c r="E336" t="s">
        <v>203</v>
      </c>
      <c r="F336" t="s">
        <v>240</v>
      </c>
      <c r="G336" t="s">
        <v>339</v>
      </c>
      <c r="T336" t="s">
        <v>254</v>
      </c>
    </row>
    <row r="337" spans="1:20" x14ac:dyDescent="0.25">
      <c r="A337" t="s">
        <v>330</v>
      </c>
      <c r="B337" t="s">
        <v>337</v>
      </c>
      <c r="C337" t="s">
        <v>431</v>
      </c>
      <c r="D337" s="4">
        <v>37229</v>
      </c>
      <c r="E337" t="s">
        <v>203</v>
      </c>
      <c r="F337" t="s">
        <v>240</v>
      </c>
      <c r="G337" t="s">
        <v>339</v>
      </c>
      <c r="T337" t="s">
        <v>253</v>
      </c>
    </row>
    <row r="338" spans="1:20" x14ac:dyDescent="0.25">
      <c r="A338" t="s">
        <v>330</v>
      </c>
      <c r="B338" t="s">
        <v>337</v>
      </c>
      <c r="C338" t="s">
        <v>432</v>
      </c>
      <c r="D338" s="4">
        <v>38075</v>
      </c>
      <c r="E338" t="s">
        <v>203</v>
      </c>
      <c r="F338" t="s">
        <v>240</v>
      </c>
      <c r="H338" s="5">
        <v>-26.4</v>
      </c>
      <c r="I338" s="5">
        <v>113.7</v>
      </c>
      <c r="T338" t="s">
        <v>253</v>
      </c>
    </row>
    <row r="339" spans="1:20" x14ac:dyDescent="0.25">
      <c r="A339" t="s">
        <v>330</v>
      </c>
      <c r="B339" t="s">
        <v>337</v>
      </c>
      <c r="C339" t="s">
        <v>433</v>
      </c>
      <c r="D339" s="4">
        <v>38758</v>
      </c>
      <c r="E339" t="s">
        <v>203</v>
      </c>
      <c r="F339" t="s">
        <v>240</v>
      </c>
      <c r="H339" s="5">
        <v>-25.2</v>
      </c>
      <c r="I339" s="5">
        <v>113.2</v>
      </c>
      <c r="T339" t="s">
        <v>253</v>
      </c>
    </row>
    <row r="340" spans="1:20" x14ac:dyDescent="0.25">
      <c r="A340" t="s">
        <v>330</v>
      </c>
      <c r="B340" t="s">
        <v>337</v>
      </c>
      <c r="C340" t="s">
        <v>434</v>
      </c>
      <c r="D340" s="4">
        <v>31669</v>
      </c>
      <c r="E340" t="s">
        <v>203</v>
      </c>
      <c r="F340" t="s">
        <v>240</v>
      </c>
      <c r="H340" s="5">
        <v>-12.3</v>
      </c>
      <c r="I340" s="5">
        <v>123</v>
      </c>
    </row>
    <row r="341" spans="1:20" x14ac:dyDescent="0.25">
      <c r="A341" t="s">
        <v>330</v>
      </c>
      <c r="B341" t="s">
        <v>337</v>
      </c>
      <c r="C341" t="s">
        <v>435</v>
      </c>
      <c r="D341" s="4">
        <v>31672</v>
      </c>
      <c r="E341" t="s">
        <v>203</v>
      </c>
      <c r="F341" t="s">
        <v>240</v>
      </c>
      <c r="H341" s="5">
        <v>-12.3</v>
      </c>
      <c r="I341" s="5">
        <v>123</v>
      </c>
    </row>
    <row r="342" spans="1:20" x14ac:dyDescent="0.25">
      <c r="A342" t="s">
        <v>330</v>
      </c>
      <c r="B342" t="s">
        <v>331</v>
      </c>
      <c r="C342" t="s">
        <v>436</v>
      </c>
      <c r="E342" t="s">
        <v>203</v>
      </c>
      <c r="F342" t="s">
        <v>240</v>
      </c>
      <c r="H342" s="5">
        <v>-12.2</v>
      </c>
      <c r="I342" s="5">
        <v>123.08333</v>
      </c>
    </row>
    <row r="343" spans="1:20" x14ac:dyDescent="0.25">
      <c r="A343" t="s">
        <v>330</v>
      </c>
      <c r="B343" t="s">
        <v>331</v>
      </c>
      <c r="C343" t="s">
        <v>437</v>
      </c>
      <c r="E343" t="s">
        <v>203</v>
      </c>
      <c r="F343" t="s">
        <v>240</v>
      </c>
      <c r="H343" s="5">
        <v>-12.2</v>
      </c>
      <c r="I343" s="5">
        <v>123.08333</v>
      </c>
    </row>
    <row r="344" spans="1:20" x14ac:dyDescent="0.25">
      <c r="A344" t="s">
        <v>330</v>
      </c>
      <c r="B344" t="s">
        <v>331</v>
      </c>
      <c r="C344" t="s">
        <v>438</v>
      </c>
      <c r="E344" t="s">
        <v>203</v>
      </c>
      <c r="F344" t="s">
        <v>240</v>
      </c>
      <c r="H344" s="5">
        <v>-12.2</v>
      </c>
      <c r="I344" s="5">
        <v>123.08333</v>
      </c>
    </row>
    <row r="345" spans="1:20" x14ac:dyDescent="0.25">
      <c r="A345" t="s">
        <v>330</v>
      </c>
      <c r="B345" t="s">
        <v>331</v>
      </c>
      <c r="C345" t="s">
        <v>439</v>
      </c>
      <c r="D345" s="4">
        <v>26665</v>
      </c>
      <c r="E345" t="s">
        <v>203</v>
      </c>
      <c r="F345" t="s">
        <v>240</v>
      </c>
      <c r="H345" s="5">
        <v>-12.2</v>
      </c>
      <c r="I345" s="5">
        <v>123.08333</v>
      </c>
    </row>
    <row r="346" spans="1:20" x14ac:dyDescent="0.25">
      <c r="A346" t="s">
        <v>330</v>
      </c>
      <c r="B346" t="s">
        <v>331</v>
      </c>
      <c r="C346" t="s">
        <v>440</v>
      </c>
      <c r="D346" s="4">
        <v>26299</v>
      </c>
      <c r="E346" t="s">
        <v>203</v>
      </c>
      <c r="F346" t="s">
        <v>240</v>
      </c>
      <c r="H346" s="5">
        <v>-12.23333</v>
      </c>
      <c r="I346" s="5">
        <v>123.08333</v>
      </c>
    </row>
    <row r="347" spans="1:20" x14ac:dyDescent="0.25">
      <c r="A347" t="s">
        <v>330</v>
      </c>
      <c r="B347" t="s">
        <v>331</v>
      </c>
      <c r="C347" t="s">
        <v>441</v>
      </c>
      <c r="D347" s="4">
        <v>26664</v>
      </c>
      <c r="E347" t="s">
        <v>203</v>
      </c>
      <c r="F347" t="s">
        <v>240</v>
      </c>
      <c r="H347" s="5">
        <v>-12.2</v>
      </c>
      <c r="I347" s="5">
        <v>123.08333</v>
      </c>
    </row>
    <row r="348" spans="1:20" x14ac:dyDescent="0.25">
      <c r="A348" t="s">
        <v>330</v>
      </c>
      <c r="B348" t="s">
        <v>331</v>
      </c>
      <c r="C348" t="s">
        <v>442</v>
      </c>
      <c r="E348" t="s">
        <v>203</v>
      </c>
      <c r="F348" t="s">
        <v>240</v>
      </c>
      <c r="H348" s="5">
        <v>-12.2</v>
      </c>
      <c r="I348" s="5">
        <v>123.08333</v>
      </c>
    </row>
    <row r="349" spans="1:20" x14ac:dyDescent="0.25">
      <c r="A349" t="s">
        <v>330</v>
      </c>
      <c r="B349" t="s">
        <v>331</v>
      </c>
      <c r="C349" t="s">
        <v>443</v>
      </c>
      <c r="E349" t="s">
        <v>203</v>
      </c>
      <c r="F349" t="s">
        <v>240</v>
      </c>
      <c r="H349" s="5">
        <v>-12.2</v>
      </c>
      <c r="I349" s="5">
        <v>123.08333</v>
      </c>
    </row>
    <row r="350" spans="1:20" x14ac:dyDescent="0.25">
      <c r="A350" t="s">
        <v>330</v>
      </c>
      <c r="B350" t="s">
        <v>331</v>
      </c>
      <c r="C350" t="s">
        <v>444</v>
      </c>
      <c r="E350" t="s">
        <v>203</v>
      </c>
      <c r="F350" t="s">
        <v>240</v>
      </c>
      <c r="H350" s="5">
        <v>-12.2</v>
      </c>
      <c r="I350" s="5">
        <v>123.08333</v>
      </c>
    </row>
    <row r="351" spans="1:20" x14ac:dyDescent="0.25">
      <c r="A351" t="s">
        <v>330</v>
      </c>
      <c r="B351" t="s">
        <v>331</v>
      </c>
      <c r="C351" t="s">
        <v>445</v>
      </c>
      <c r="D351" s="4">
        <v>26665</v>
      </c>
      <c r="E351" t="s">
        <v>203</v>
      </c>
      <c r="F351" t="s">
        <v>240</v>
      </c>
      <c r="H351" s="5">
        <v>-12.2</v>
      </c>
      <c r="I351" s="5">
        <v>123.08333</v>
      </c>
    </row>
    <row r="352" spans="1:20" x14ac:dyDescent="0.25">
      <c r="A352" t="s">
        <v>330</v>
      </c>
      <c r="B352" t="s">
        <v>331</v>
      </c>
      <c r="C352" t="s">
        <v>446</v>
      </c>
      <c r="D352" s="4">
        <v>26664</v>
      </c>
      <c r="E352" t="s">
        <v>203</v>
      </c>
      <c r="F352" t="s">
        <v>240</v>
      </c>
      <c r="H352" s="5">
        <v>-12.2</v>
      </c>
      <c r="I352" s="5">
        <v>123.08333</v>
      </c>
    </row>
    <row r="353" spans="1:9" x14ac:dyDescent="0.25">
      <c r="A353" t="s">
        <v>330</v>
      </c>
      <c r="B353" t="s">
        <v>331</v>
      </c>
      <c r="C353" t="s">
        <v>447</v>
      </c>
      <c r="E353" t="s">
        <v>203</v>
      </c>
      <c r="F353" t="s">
        <v>240</v>
      </c>
      <c r="H353" s="5">
        <v>-12.2</v>
      </c>
      <c r="I353" s="5">
        <v>123.08333</v>
      </c>
    </row>
    <row r="354" spans="1:9" x14ac:dyDescent="0.25">
      <c r="A354" t="s">
        <v>330</v>
      </c>
      <c r="B354" t="s">
        <v>331</v>
      </c>
      <c r="C354" t="s">
        <v>448</v>
      </c>
      <c r="D354" s="4">
        <v>31674</v>
      </c>
      <c r="E354" t="s">
        <v>203</v>
      </c>
      <c r="F354" t="s">
        <v>240</v>
      </c>
      <c r="H354" s="5">
        <v>-12.283300000000001</v>
      </c>
      <c r="I354" s="5">
        <v>123.0333</v>
      </c>
    </row>
    <row r="355" spans="1:9" x14ac:dyDescent="0.25">
      <c r="A355" t="s">
        <v>330</v>
      </c>
      <c r="B355" t="s">
        <v>331</v>
      </c>
      <c r="C355" t="s">
        <v>449</v>
      </c>
      <c r="D355" s="4">
        <v>31594</v>
      </c>
      <c r="E355" t="s">
        <v>203</v>
      </c>
      <c r="F355" t="s">
        <v>240</v>
      </c>
      <c r="H355" s="5">
        <v>-12.25</v>
      </c>
      <c r="I355" s="5">
        <v>123.08333</v>
      </c>
    </row>
    <row r="356" spans="1:9" x14ac:dyDescent="0.25">
      <c r="A356" t="s">
        <v>330</v>
      </c>
      <c r="B356" t="s">
        <v>331</v>
      </c>
      <c r="C356" t="s">
        <v>450</v>
      </c>
      <c r="E356" t="s">
        <v>203</v>
      </c>
      <c r="F356" t="s">
        <v>240</v>
      </c>
      <c r="H356" s="5">
        <v>-12.2</v>
      </c>
      <c r="I356" s="5">
        <v>123.08333</v>
      </c>
    </row>
    <row r="357" spans="1:9" x14ac:dyDescent="0.25">
      <c r="A357" t="s">
        <v>330</v>
      </c>
      <c r="B357" t="s">
        <v>331</v>
      </c>
      <c r="C357" t="s">
        <v>451</v>
      </c>
      <c r="E357" t="s">
        <v>203</v>
      </c>
      <c r="F357" t="s">
        <v>240</v>
      </c>
      <c r="H357" s="5">
        <v>-12.2</v>
      </c>
      <c r="I357" s="5">
        <v>123.08333</v>
      </c>
    </row>
    <row r="358" spans="1:9" x14ac:dyDescent="0.25">
      <c r="A358" t="s">
        <v>330</v>
      </c>
      <c r="B358" t="s">
        <v>331</v>
      </c>
      <c r="C358" t="s">
        <v>452</v>
      </c>
      <c r="E358" t="s">
        <v>203</v>
      </c>
      <c r="F358" t="s">
        <v>240</v>
      </c>
      <c r="H358" s="5">
        <v>-12.2</v>
      </c>
      <c r="I358" s="5">
        <v>123.08333</v>
      </c>
    </row>
    <row r="359" spans="1:9" x14ac:dyDescent="0.25">
      <c r="A359" t="s">
        <v>330</v>
      </c>
      <c r="B359" t="s">
        <v>331</v>
      </c>
      <c r="C359" t="s">
        <v>453</v>
      </c>
      <c r="D359" s="4">
        <v>26664</v>
      </c>
      <c r="E359" t="s">
        <v>203</v>
      </c>
      <c r="F359" t="s">
        <v>240</v>
      </c>
      <c r="H359" s="5">
        <v>-12.2</v>
      </c>
      <c r="I359" s="5">
        <v>123.08333</v>
      </c>
    </row>
    <row r="360" spans="1:9" x14ac:dyDescent="0.25">
      <c r="A360" t="s">
        <v>330</v>
      </c>
      <c r="B360" t="s">
        <v>331</v>
      </c>
      <c r="C360" t="s">
        <v>454</v>
      </c>
      <c r="E360" t="s">
        <v>203</v>
      </c>
      <c r="F360" t="s">
        <v>240</v>
      </c>
      <c r="H360" s="5">
        <v>-12.2</v>
      </c>
      <c r="I360" s="5">
        <v>123.08333</v>
      </c>
    </row>
    <row r="361" spans="1:9" x14ac:dyDescent="0.25">
      <c r="A361" t="s">
        <v>330</v>
      </c>
      <c r="B361" t="s">
        <v>331</v>
      </c>
      <c r="C361" t="s">
        <v>455</v>
      </c>
      <c r="D361" s="4">
        <v>26674</v>
      </c>
      <c r="E361" t="s">
        <v>203</v>
      </c>
      <c r="F361" t="s">
        <v>240</v>
      </c>
      <c r="H361" s="5">
        <v>-12.2</v>
      </c>
      <c r="I361" s="5">
        <v>123.08333</v>
      </c>
    </row>
    <row r="362" spans="1:9" x14ac:dyDescent="0.25">
      <c r="A362" t="s">
        <v>330</v>
      </c>
      <c r="B362" t="s">
        <v>331</v>
      </c>
      <c r="C362" t="s">
        <v>456</v>
      </c>
      <c r="D362" s="4">
        <v>26665</v>
      </c>
      <c r="E362" t="s">
        <v>203</v>
      </c>
      <c r="F362" t="s">
        <v>240</v>
      </c>
      <c r="H362" s="5">
        <v>-12.2</v>
      </c>
      <c r="I362" s="5">
        <v>123.08333</v>
      </c>
    </row>
    <row r="363" spans="1:9" x14ac:dyDescent="0.25">
      <c r="A363" t="s">
        <v>330</v>
      </c>
      <c r="B363" t="s">
        <v>331</v>
      </c>
      <c r="C363" t="s">
        <v>457</v>
      </c>
      <c r="D363" s="4">
        <v>26664</v>
      </c>
      <c r="E363" t="s">
        <v>203</v>
      </c>
      <c r="F363" t="s">
        <v>240</v>
      </c>
      <c r="H363" s="5">
        <v>-12.2</v>
      </c>
      <c r="I363" s="5">
        <v>123.08333</v>
      </c>
    </row>
    <row r="364" spans="1:9" x14ac:dyDescent="0.25">
      <c r="A364" t="s">
        <v>330</v>
      </c>
      <c r="B364" t="s">
        <v>331</v>
      </c>
      <c r="C364" t="s">
        <v>458</v>
      </c>
      <c r="E364" t="s">
        <v>203</v>
      </c>
      <c r="F364" t="s">
        <v>240</v>
      </c>
      <c r="H364" s="5">
        <v>-12.2</v>
      </c>
      <c r="I364" s="5">
        <v>123.08333</v>
      </c>
    </row>
    <row r="365" spans="1:9" x14ac:dyDescent="0.25">
      <c r="A365" t="s">
        <v>330</v>
      </c>
      <c r="B365" t="s">
        <v>331</v>
      </c>
      <c r="C365" t="s">
        <v>459</v>
      </c>
      <c r="E365" t="s">
        <v>203</v>
      </c>
      <c r="F365" t="s">
        <v>240</v>
      </c>
      <c r="H365" s="5">
        <v>-12.2</v>
      </c>
      <c r="I365" s="5">
        <v>123.08333</v>
      </c>
    </row>
    <row r="366" spans="1:9" x14ac:dyDescent="0.25">
      <c r="A366" t="s">
        <v>330</v>
      </c>
      <c r="B366" t="s">
        <v>331</v>
      </c>
      <c r="C366" t="s">
        <v>460</v>
      </c>
      <c r="E366" t="s">
        <v>203</v>
      </c>
      <c r="F366" t="s">
        <v>240</v>
      </c>
      <c r="H366" s="5">
        <v>-12.2</v>
      </c>
      <c r="I366" s="5">
        <v>123.08333</v>
      </c>
    </row>
    <row r="367" spans="1:9" x14ac:dyDescent="0.25">
      <c r="A367" t="s">
        <v>330</v>
      </c>
      <c r="B367" t="s">
        <v>331</v>
      </c>
      <c r="C367" t="s">
        <v>461</v>
      </c>
      <c r="E367" t="s">
        <v>203</v>
      </c>
      <c r="F367" t="s">
        <v>240</v>
      </c>
      <c r="H367" s="5">
        <v>-12.2</v>
      </c>
      <c r="I367" s="5">
        <v>123.08333</v>
      </c>
    </row>
    <row r="368" spans="1:9" x14ac:dyDescent="0.25">
      <c r="A368" t="s">
        <v>330</v>
      </c>
      <c r="B368" t="s">
        <v>331</v>
      </c>
      <c r="C368" t="s">
        <v>462</v>
      </c>
      <c r="D368" s="4">
        <v>26670</v>
      </c>
      <c r="E368" t="s">
        <v>203</v>
      </c>
      <c r="F368" t="s">
        <v>240</v>
      </c>
      <c r="H368" s="5">
        <v>-12.2</v>
      </c>
      <c r="I368" s="5">
        <v>123.08333</v>
      </c>
    </row>
    <row r="369" spans="1:9" x14ac:dyDescent="0.25">
      <c r="A369" t="s">
        <v>330</v>
      </c>
      <c r="B369" t="s">
        <v>331</v>
      </c>
      <c r="C369" t="s">
        <v>463</v>
      </c>
      <c r="E369" t="s">
        <v>203</v>
      </c>
      <c r="F369" t="s">
        <v>240</v>
      </c>
      <c r="H369" s="5">
        <v>-12.2</v>
      </c>
      <c r="I369" s="5">
        <v>123.08333</v>
      </c>
    </row>
    <row r="370" spans="1:9" x14ac:dyDescent="0.25">
      <c r="A370" t="s">
        <v>330</v>
      </c>
      <c r="B370" t="s">
        <v>331</v>
      </c>
      <c r="C370" t="s">
        <v>464</v>
      </c>
      <c r="D370" s="4">
        <v>31669</v>
      </c>
      <c r="E370" t="s">
        <v>203</v>
      </c>
      <c r="F370" t="s">
        <v>240</v>
      </c>
      <c r="H370" s="5">
        <v>-12.283300000000001</v>
      </c>
      <c r="I370" s="5">
        <v>123.0333</v>
      </c>
    </row>
    <row r="371" spans="1:9" x14ac:dyDescent="0.25">
      <c r="A371" t="s">
        <v>330</v>
      </c>
      <c r="B371" t="s">
        <v>331</v>
      </c>
      <c r="C371" t="s">
        <v>465</v>
      </c>
      <c r="E371" t="s">
        <v>203</v>
      </c>
      <c r="F371" t="s">
        <v>240</v>
      </c>
      <c r="H371" s="5">
        <v>-12</v>
      </c>
      <c r="I371" s="5">
        <v>123.38333</v>
      </c>
    </row>
    <row r="372" spans="1:9" x14ac:dyDescent="0.25">
      <c r="A372" t="s">
        <v>330</v>
      </c>
      <c r="B372" t="s">
        <v>331</v>
      </c>
      <c r="C372" t="s">
        <v>466</v>
      </c>
      <c r="E372" t="s">
        <v>203</v>
      </c>
      <c r="F372" t="s">
        <v>240</v>
      </c>
      <c r="H372" s="5">
        <v>-12.2</v>
      </c>
      <c r="I372" s="5">
        <v>123.08333</v>
      </c>
    </row>
    <row r="373" spans="1:9" x14ac:dyDescent="0.25">
      <c r="A373" t="s">
        <v>330</v>
      </c>
      <c r="B373" t="s">
        <v>331</v>
      </c>
      <c r="C373" t="s">
        <v>467</v>
      </c>
      <c r="E373" t="s">
        <v>203</v>
      </c>
      <c r="F373" t="s">
        <v>240</v>
      </c>
      <c r="H373" s="5">
        <v>-12.25</v>
      </c>
      <c r="I373" s="5">
        <v>123</v>
      </c>
    </row>
    <row r="374" spans="1:9" x14ac:dyDescent="0.25">
      <c r="A374" t="s">
        <v>330</v>
      </c>
      <c r="B374" t="s">
        <v>331</v>
      </c>
      <c r="C374" t="s">
        <v>468</v>
      </c>
      <c r="D374" s="4">
        <v>27029</v>
      </c>
      <c r="E374" t="s">
        <v>203</v>
      </c>
      <c r="F374" t="s">
        <v>240</v>
      </c>
      <c r="H374" s="5">
        <v>-12.2</v>
      </c>
      <c r="I374" s="5">
        <v>123.08333</v>
      </c>
    </row>
    <row r="375" spans="1:9" x14ac:dyDescent="0.25">
      <c r="A375" t="s">
        <v>330</v>
      </c>
      <c r="B375" t="s">
        <v>331</v>
      </c>
      <c r="C375" t="s">
        <v>469</v>
      </c>
      <c r="D375" s="4">
        <v>31673</v>
      </c>
      <c r="E375" t="s">
        <v>203</v>
      </c>
      <c r="F375" t="s">
        <v>240</v>
      </c>
      <c r="H375" s="5">
        <v>-12.283300000000001</v>
      </c>
      <c r="I375" s="5">
        <v>123.0333</v>
      </c>
    </row>
    <row r="376" spans="1:9" x14ac:dyDescent="0.25">
      <c r="A376" t="s">
        <v>330</v>
      </c>
      <c r="B376" t="s">
        <v>331</v>
      </c>
      <c r="C376" t="s">
        <v>470</v>
      </c>
      <c r="E376" t="s">
        <v>203</v>
      </c>
      <c r="F376" t="s">
        <v>240</v>
      </c>
      <c r="H376" s="5">
        <v>-12.2</v>
      </c>
      <c r="I376" s="5">
        <v>123.08333</v>
      </c>
    </row>
    <row r="377" spans="1:9" x14ac:dyDescent="0.25">
      <c r="A377" t="s">
        <v>330</v>
      </c>
      <c r="B377" t="s">
        <v>331</v>
      </c>
      <c r="C377" t="s">
        <v>471</v>
      </c>
      <c r="D377" s="4">
        <v>31672</v>
      </c>
      <c r="E377" t="s">
        <v>203</v>
      </c>
      <c r="F377" t="s">
        <v>240</v>
      </c>
      <c r="H377" s="5">
        <v>-12.283300000000001</v>
      </c>
      <c r="I377" s="5">
        <v>123.0333</v>
      </c>
    </row>
    <row r="378" spans="1:9" x14ac:dyDescent="0.25">
      <c r="A378" t="s">
        <v>330</v>
      </c>
      <c r="B378" t="s">
        <v>331</v>
      </c>
      <c r="C378" t="s">
        <v>472</v>
      </c>
      <c r="D378" s="4">
        <v>26665</v>
      </c>
      <c r="E378" t="s">
        <v>203</v>
      </c>
      <c r="F378" t="s">
        <v>240</v>
      </c>
      <c r="H378" s="5">
        <v>-12.2</v>
      </c>
      <c r="I378" s="5">
        <v>123.08333</v>
      </c>
    </row>
    <row r="379" spans="1:9" x14ac:dyDescent="0.25">
      <c r="A379" t="s">
        <v>330</v>
      </c>
      <c r="B379" t="s">
        <v>331</v>
      </c>
      <c r="C379" t="s">
        <v>473</v>
      </c>
      <c r="D379" s="4">
        <v>26664</v>
      </c>
      <c r="E379" t="s">
        <v>203</v>
      </c>
      <c r="F379" t="s">
        <v>240</v>
      </c>
      <c r="H379" s="5">
        <v>-12.2</v>
      </c>
      <c r="I379" s="5">
        <v>123.08333</v>
      </c>
    </row>
    <row r="380" spans="1:9" x14ac:dyDescent="0.25">
      <c r="A380" t="s">
        <v>330</v>
      </c>
      <c r="B380" t="s">
        <v>331</v>
      </c>
      <c r="C380" t="s">
        <v>474</v>
      </c>
      <c r="D380" s="4">
        <v>26675</v>
      </c>
      <c r="E380" t="s">
        <v>203</v>
      </c>
      <c r="F380" t="s">
        <v>240</v>
      </c>
      <c r="H380" s="5">
        <v>-12.25</v>
      </c>
      <c r="I380" s="5">
        <v>123.08333</v>
      </c>
    </row>
    <row r="381" spans="1:9" x14ac:dyDescent="0.25">
      <c r="A381" t="s">
        <v>478</v>
      </c>
      <c r="C381" t="s">
        <v>479</v>
      </c>
      <c r="D381" s="4">
        <v>42581</v>
      </c>
      <c r="E381" t="s">
        <v>203</v>
      </c>
      <c r="F381" t="s">
        <v>204</v>
      </c>
      <c r="G381" t="s">
        <v>205</v>
      </c>
    </row>
    <row r="382" spans="1:9" x14ac:dyDescent="0.25">
      <c r="A382" t="s">
        <v>478</v>
      </c>
      <c r="C382" t="s">
        <v>480</v>
      </c>
      <c r="D382" s="4">
        <v>42591</v>
      </c>
      <c r="E382" t="s">
        <v>203</v>
      </c>
      <c r="F382" t="s">
        <v>204</v>
      </c>
      <c r="G382" t="s">
        <v>205</v>
      </c>
    </row>
    <row r="383" spans="1:9" x14ac:dyDescent="0.25">
      <c r="A383" t="s">
        <v>478</v>
      </c>
      <c r="C383" t="s">
        <v>481</v>
      </c>
      <c r="D383" s="4">
        <v>42655</v>
      </c>
      <c r="E383" t="s">
        <v>203</v>
      </c>
      <c r="F383" t="s">
        <v>204</v>
      </c>
      <c r="G383" t="s">
        <v>205</v>
      </c>
    </row>
    <row r="384" spans="1:9" x14ac:dyDescent="0.25">
      <c r="A384" t="s">
        <v>478</v>
      </c>
      <c r="C384" t="s">
        <v>482</v>
      </c>
      <c r="D384" s="4">
        <v>42676</v>
      </c>
      <c r="E384" t="s">
        <v>203</v>
      </c>
      <c r="F384" t="s">
        <v>204</v>
      </c>
      <c r="G384" t="s">
        <v>205</v>
      </c>
    </row>
    <row r="385" spans="1:7" x14ac:dyDescent="0.25">
      <c r="A385" t="s">
        <v>478</v>
      </c>
      <c r="C385" t="s">
        <v>483</v>
      </c>
      <c r="D385" s="4">
        <v>42843</v>
      </c>
      <c r="E385" t="s">
        <v>203</v>
      </c>
      <c r="F385" t="s">
        <v>204</v>
      </c>
      <c r="G385" t="s">
        <v>205</v>
      </c>
    </row>
    <row r="386" spans="1:7" x14ac:dyDescent="0.25">
      <c r="A386" t="s">
        <v>478</v>
      </c>
      <c r="C386" t="s">
        <v>484</v>
      </c>
      <c r="D386" s="4">
        <v>42843</v>
      </c>
      <c r="E386" t="s">
        <v>203</v>
      </c>
      <c r="F386" t="s">
        <v>204</v>
      </c>
      <c r="G386" t="s">
        <v>205</v>
      </c>
    </row>
    <row r="387" spans="1:7" x14ac:dyDescent="0.25">
      <c r="A387" t="s">
        <v>478</v>
      </c>
      <c r="C387" t="s">
        <v>485</v>
      </c>
      <c r="D387" s="4">
        <v>42843</v>
      </c>
      <c r="E387" t="s">
        <v>203</v>
      </c>
      <c r="F387" t="s">
        <v>204</v>
      </c>
      <c r="G387" t="s">
        <v>205</v>
      </c>
    </row>
    <row r="388" spans="1:7" x14ac:dyDescent="0.25">
      <c r="A388" t="s">
        <v>478</v>
      </c>
      <c r="C388" t="s">
        <v>486</v>
      </c>
      <c r="D388" s="4">
        <v>42844</v>
      </c>
      <c r="E388" t="s">
        <v>203</v>
      </c>
      <c r="F388" t="s">
        <v>204</v>
      </c>
      <c r="G388" t="s">
        <v>205</v>
      </c>
    </row>
    <row r="389" spans="1:7" x14ac:dyDescent="0.25">
      <c r="A389" t="s">
        <v>478</v>
      </c>
      <c r="C389" t="s">
        <v>487</v>
      </c>
      <c r="D389" s="4">
        <v>42844</v>
      </c>
      <c r="E389" t="s">
        <v>203</v>
      </c>
      <c r="F389" t="s">
        <v>204</v>
      </c>
      <c r="G389" t="s">
        <v>205</v>
      </c>
    </row>
    <row r="390" spans="1:7" x14ac:dyDescent="0.25">
      <c r="A390" t="s">
        <v>478</v>
      </c>
      <c r="C390" t="s">
        <v>488</v>
      </c>
      <c r="D390" s="4">
        <v>42844</v>
      </c>
      <c r="E390" t="s">
        <v>203</v>
      </c>
      <c r="F390" t="s">
        <v>204</v>
      </c>
      <c r="G390" t="s">
        <v>205</v>
      </c>
    </row>
    <row r="391" spans="1:7" x14ac:dyDescent="0.25">
      <c r="A391" t="s">
        <v>478</v>
      </c>
      <c r="C391" t="s">
        <v>489</v>
      </c>
      <c r="D391" s="4">
        <v>42845</v>
      </c>
      <c r="E391" t="s">
        <v>203</v>
      </c>
      <c r="F391" t="s">
        <v>204</v>
      </c>
      <c r="G391" t="s">
        <v>205</v>
      </c>
    </row>
    <row r="392" spans="1:7" x14ac:dyDescent="0.25">
      <c r="A392" t="s">
        <v>478</v>
      </c>
      <c r="C392" t="s">
        <v>490</v>
      </c>
      <c r="D392" s="4">
        <v>42845</v>
      </c>
      <c r="E392" t="s">
        <v>203</v>
      </c>
      <c r="F392" t="s">
        <v>204</v>
      </c>
      <c r="G392" t="s">
        <v>205</v>
      </c>
    </row>
    <row r="393" spans="1:7" x14ac:dyDescent="0.25">
      <c r="A393" t="s">
        <v>478</v>
      </c>
      <c r="C393" t="s">
        <v>491</v>
      </c>
      <c r="D393" s="4">
        <v>42846</v>
      </c>
      <c r="E393" t="s">
        <v>203</v>
      </c>
      <c r="F393" t="s">
        <v>204</v>
      </c>
      <c r="G393" t="s">
        <v>205</v>
      </c>
    </row>
    <row r="394" spans="1:7" x14ac:dyDescent="0.25">
      <c r="A394" t="s">
        <v>478</v>
      </c>
      <c r="C394" t="s">
        <v>492</v>
      </c>
      <c r="D394" s="4">
        <v>42846</v>
      </c>
      <c r="E394" t="s">
        <v>203</v>
      </c>
      <c r="F394" t="s">
        <v>204</v>
      </c>
      <c r="G394" t="s">
        <v>205</v>
      </c>
    </row>
    <row r="395" spans="1:7" x14ac:dyDescent="0.25">
      <c r="A395" t="s">
        <v>478</v>
      </c>
      <c r="C395" t="s">
        <v>493</v>
      </c>
      <c r="D395" s="4">
        <v>42846</v>
      </c>
      <c r="E395" t="s">
        <v>203</v>
      </c>
      <c r="F395" t="s">
        <v>204</v>
      </c>
      <c r="G395" t="s">
        <v>205</v>
      </c>
    </row>
    <row r="396" spans="1:7" x14ac:dyDescent="0.25">
      <c r="A396" t="s">
        <v>478</v>
      </c>
      <c r="C396" t="s">
        <v>494</v>
      </c>
      <c r="D396" s="4">
        <v>42846</v>
      </c>
      <c r="E396" t="s">
        <v>203</v>
      </c>
      <c r="F396" t="s">
        <v>204</v>
      </c>
      <c r="G396" t="s">
        <v>205</v>
      </c>
    </row>
    <row r="397" spans="1:7" x14ac:dyDescent="0.25">
      <c r="A397" t="s">
        <v>478</v>
      </c>
      <c r="C397" t="s">
        <v>495</v>
      </c>
      <c r="D397" s="4">
        <v>42846</v>
      </c>
      <c r="E397" t="s">
        <v>203</v>
      </c>
      <c r="F397" t="s">
        <v>204</v>
      </c>
      <c r="G397" t="s">
        <v>205</v>
      </c>
    </row>
    <row r="398" spans="1:7" x14ac:dyDescent="0.25">
      <c r="A398" t="s">
        <v>478</v>
      </c>
      <c r="C398" t="s">
        <v>496</v>
      </c>
      <c r="D398" s="4">
        <v>42846</v>
      </c>
      <c r="E398" t="s">
        <v>203</v>
      </c>
      <c r="F398" t="s">
        <v>204</v>
      </c>
      <c r="G398" t="s">
        <v>205</v>
      </c>
    </row>
    <row r="399" spans="1:7" x14ac:dyDescent="0.25">
      <c r="A399" t="s">
        <v>478</v>
      </c>
      <c r="C399" t="s">
        <v>497</v>
      </c>
      <c r="D399" s="4">
        <v>42846</v>
      </c>
      <c r="E399" t="s">
        <v>203</v>
      </c>
      <c r="F399" t="s">
        <v>204</v>
      </c>
      <c r="G399" t="s">
        <v>205</v>
      </c>
    </row>
    <row r="400" spans="1:7" x14ac:dyDescent="0.25">
      <c r="A400" t="s">
        <v>478</v>
      </c>
      <c r="C400" t="s">
        <v>498</v>
      </c>
      <c r="D400" s="4">
        <v>42850</v>
      </c>
      <c r="E400" t="s">
        <v>203</v>
      </c>
      <c r="F400" t="s">
        <v>204</v>
      </c>
      <c r="G400" t="s">
        <v>205</v>
      </c>
    </row>
    <row r="401" spans="1:24" x14ac:dyDescent="0.25">
      <c r="A401" t="s">
        <v>478</v>
      </c>
      <c r="C401" t="s">
        <v>499</v>
      </c>
      <c r="D401" s="4">
        <v>42852</v>
      </c>
      <c r="E401" t="s">
        <v>203</v>
      </c>
      <c r="F401" t="s">
        <v>204</v>
      </c>
      <c r="G401" t="s">
        <v>205</v>
      </c>
    </row>
    <row r="402" spans="1:24" x14ac:dyDescent="0.25">
      <c r="A402" t="s">
        <v>478</v>
      </c>
      <c r="C402" t="s">
        <v>500</v>
      </c>
      <c r="D402" s="4">
        <v>42858</v>
      </c>
      <c r="E402" t="s">
        <v>203</v>
      </c>
      <c r="F402" t="s">
        <v>204</v>
      </c>
      <c r="G402" t="s">
        <v>205</v>
      </c>
    </row>
    <row r="403" spans="1:24" x14ac:dyDescent="0.25">
      <c r="A403" t="s">
        <v>478</v>
      </c>
      <c r="C403" t="s">
        <v>501</v>
      </c>
      <c r="D403" s="4">
        <v>42864</v>
      </c>
      <c r="E403" t="s">
        <v>203</v>
      </c>
      <c r="F403" t="s">
        <v>204</v>
      </c>
      <c r="G403" t="s">
        <v>205</v>
      </c>
    </row>
    <row r="404" spans="1:24" x14ac:dyDescent="0.25">
      <c r="A404" t="s">
        <v>478</v>
      </c>
      <c r="C404" t="s">
        <v>502</v>
      </c>
      <c r="D404" s="4">
        <v>42865</v>
      </c>
      <c r="E404" t="s">
        <v>203</v>
      </c>
      <c r="F404" t="s">
        <v>204</v>
      </c>
      <c r="G404" t="s">
        <v>205</v>
      </c>
    </row>
    <row r="405" spans="1:24" x14ac:dyDescent="0.25">
      <c r="A405" t="s">
        <v>478</v>
      </c>
      <c r="C405" t="s">
        <v>503</v>
      </c>
      <c r="D405" s="4">
        <v>42858</v>
      </c>
      <c r="E405" t="s">
        <v>203</v>
      </c>
      <c r="F405" t="s">
        <v>204</v>
      </c>
      <c r="G405" t="s">
        <v>205</v>
      </c>
    </row>
    <row r="406" spans="1:24" x14ac:dyDescent="0.25">
      <c r="A406" t="s">
        <v>478</v>
      </c>
      <c r="C406" t="s">
        <v>504</v>
      </c>
      <c r="D406" s="4">
        <v>42858</v>
      </c>
      <c r="E406" t="s">
        <v>203</v>
      </c>
      <c r="F406" t="s">
        <v>204</v>
      </c>
      <c r="G406" t="s">
        <v>205</v>
      </c>
    </row>
    <row r="407" spans="1:24" x14ac:dyDescent="0.25">
      <c r="A407" t="s">
        <v>478</v>
      </c>
      <c r="C407" t="s">
        <v>505</v>
      </c>
      <c r="D407" s="4">
        <v>42858</v>
      </c>
      <c r="E407" t="s">
        <v>203</v>
      </c>
      <c r="F407" t="s">
        <v>204</v>
      </c>
      <c r="G407" t="s">
        <v>205</v>
      </c>
    </row>
    <row r="408" spans="1:24" x14ac:dyDescent="0.25">
      <c r="A408" t="s">
        <v>478</v>
      </c>
      <c r="C408" t="s">
        <v>506</v>
      </c>
      <c r="D408" s="4">
        <v>42844</v>
      </c>
      <c r="E408" t="s">
        <v>203</v>
      </c>
      <c r="F408" t="s">
        <v>204</v>
      </c>
      <c r="G408" t="s">
        <v>205</v>
      </c>
      <c r="H408" s="5">
        <v>-22.198333300000002</v>
      </c>
      <c r="I408" s="5">
        <v>114.31155</v>
      </c>
      <c r="T408" t="s">
        <v>253</v>
      </c>
    </row>
    <row r="409" spans="1:24" x14ac:dyDescent="0.25">
      <c r="A409" t="s">
        <v>478</v>
      </c>
      <c r="C409" t="s">
        <v>507</v>
      </c>
      <c r="D409" s="4">
        <v>42846</v>
      </c>
      <c r="E409" t="s">
        <v>203</v>
      </c>
      <c r="F409" t="s">
        <v>204</v>
      </c>
      <c r="G409" t="s">
        <v>205</v>
      </c>
      <c r="I409"/>
      <c r="T409" t="s">
        <v>254</v>
      </c>
    </row>
    <row r="410" spans="1:24" x14ac:dyDescent="0.25">
      <c r="A410" t="s">
        <v>478</v>
      </c>
      <c r="C410" t="s">
        <v>508</v>
      </c>
      <c r="D410" s="4">
        <v>42849</v>
      </c>
      <c r="E410" t="s">
        <v>203</v>
      </c>
      <c r="F410" t="s">
        <v>204</v>
      </c>
      <c r="G410" t="s">
        <v>205</v>
      </c>
    </row>
    <row r="411" spans="1:24" x14ac:dyDescent="0.25">
      <c r="A411" t="s">
        <v>478</v>
      </c>
      <c r="C411" t="s">
        <v>509</v>
      </c>
      <c r="D411" s="4">
        <v>42861</v>
      </c>
      <c r="E411" t="s">
        <v>203</v>
      </c>
      <c r="F411" t="s">
        <v>204</v>
      </c>
      <c r="G411" t="s">
        <v>205</v>
      </c>
    </row>
    <row r="412" spans="1:24" x14ac:dyDescent="0.25">
      <c r="A412" t="s">
        <v>478</v>
      </c>
      <c r="C412" t="s">
        <v>510</v>
      </c>
      <c r="D412" s="4">
        <v>42861</v>
      </c>
      <c r="E412" t="s">
        <v>203</v>
      </c>
      <c r="F412" t="s">
        <v>204</v>
      </c>
      <c r="G412" t="s">
        <v>205</v>
      </c>
    </row>
    <row r="413" spans="1:24" x14ac:dyDescent="0.25">
      <c r="A413" t="s">
        <v>478</v>
      </c>
      <c r="C413" t="s">
        <v>511</v>
      </c>
      <c r="D413" s="4">
        <v>42872</v>
      </c>
      <c r="E413" t="s">
        <v>203</v>
      </c>
      <c r="F413" t="s">
        <v>204</v>
      </c>
      <c r="G413" t="s">
        <v>205</v>
      </c>
      <c r="T413" t="s">
        <v>254</v>
      </c>
    </row>
    <row r="414" spans="1:24" x14ac:dyDescent="0.25">
      <c r="A414" t="s">
        <v>478</v>
      </c>
      <c r="C414" t="s">
        <v>512</v>
      </c>
      <c r="D414" s="4">
        <v>42872</v>
      </c>
      <c r="E414" t="s">
        <v>203</v>
      </c>
      <c r="F414" t="s">
        <v>204</v>
      </c>
      <c r="G414" t="s">
        <v>205</v>
      </c>
      <c r="T414" t="s">
        <v>253</v>
      </c>
    </row>
    <row r="415" spans="1:24" x14ac:dyDescent="0.25">
      <c r="A415" t="s">
        <v>478</v>
      </c>
      <c r="B415" t="s">
        <v>525</v>
      </c>
      <c r="C415" t="s">
        <v>513</v>
      </c>
      <c r="D415" s="4">
        <v>45069</v>
      </c>
      <c r="E415" t="s">
        <v>203</v>
      </c>
      <c r="F415" t="s">
        <v>204</v>
      </c>
      <c r="G415" t="s">
        <v>205</v>
      </c>
      <c r="H415" s="5">
        <v>-22.105329999999999</v>
      </c>
      <c r="I415" s="5">
        <v>114.20917</v>
      </c>
      <c r="T415" t="s">
        <v>253</v>
      </c>
      <c r="U415" s="8">
        <v>410</v>
      </c>
      <c r="V415" s="8">
        <v>80</v>
      </c>
      <c r="W415" s="8">
        <v>8</v>
      </c>
      <c r="X415" s="7">
        <v>445450</v>
      </c>
    </row>
    <row r="416" spans="1:24" x14ac:dyDescent="0.25">
      <c r="A416" t="s">
        <v>478</v>
      </c>
      <c r="B416" t="s">
        <v>525</v>
      </c>
      <c r="C416" t="s">
        <v>514</v>
      </c>
      <c r="D416" s="4">
        <v>45070</v>
      </c>
      <c r="E416" t="s">
        <v>203</v>
      </c>
      <c r="F416" t="s">
        <v>204</v>
      </c>
      <c r="G416" t="s">
        <v>205</v>
      </c>
      <c r="H416" s="5">
        <v>-22.120332999999999</v>
      </c>
      <c r="I416" s="5">
        <v>114.321</v>
      </c>
      <c r="V416" s="8">
        <v>87</v>
      </c>
      <c r="W416" s="8">
        <v>98</v>
      </c>
      <c r="X416" s="7">
        <v>445386</v>
      </c>
    </row>
    <row r="417" spans="1:24" x14ac:dyDescent="0.25">
      <c r="A417" t="s">
        <v>478</v>
      </c>
      <c r="B417" t="s">
        <v>525</v>
      </c>
      <c r="C417" t="s">
        <v>515</v>
      </c>
      <c r="D417" s="4">
        <v>45075</v>
      </c>
      <c r="E417" t="s">
        <v>203</v>
      </c>
      <c r="F417" t="s">
        <v>204</v>
      </c>
      <c r="G417" t="s">
        <v>205</v>
      </c>
      <c r="H417" s="5">
        <v>-22.124500000000001</v>
      </c>
      <c r="I417" s="5">
        <v>114.134833</v>
      </c>
      <c r="T417" t="s">
        <v>253</v>
      </c>
    </row>
    <row r="418" spans="1:24" x14ac:dyDescent="0.25">
      <c r="A418" t="s">
        <v>478</v>
      </c>
      <c r="B418" t="s">
        <v>525</v>
      </c>
      <c r="C418" t="s">
        <v>516</v>
      </c>
      <c r="D418" s="4">
        <v>45075</v>
      </c>
      <c r="E418" t="s">
        <v>203</v>
      </c>
      <c r="F418" t="s">
        <v>204</v>
      </c>
      <c r="G418" t="s">
        <v>205</v>
      </c>
      <c r="H418" s="5">
        <v>-22.124500000000001</v>
      </c>
      <c r="I418" s="5">
        <v>114.13482999999999</v>
      </c>
      <c r="T418" t="s">
        <v>254</v>
      </c>
      <c r="U418" s="8">
        <v>460</v>
      </c>
      <c r="V418" s="8">
        <v>87</v>
      </c>
      <c r="W418" s="8">
        <v>10</v>
      </c>
      <c r="X418" s="7">
        <v>445444</v>
      </c>
    </row>
    <row r="419" spans="1:24" x14ac:dyDescent="0.25">
      <c r="A419" t="s">
        <v>478</v>
      </c>
      <c r="B419" t="s">
        <v>525</v>
      </c>
      <c r="C419" t="s">
        <v>517</v>
      </c>
      <c r="D419" s="4">
        <v>45073</v>
      </c>
      <c r="E419" t="s">
        <v>203</v>
      </c>
      <c r="F419" t="s">
        <v>204</v>
      </c>
      <c r="G419" t="s">
        <v>205</v>
      </c>
      <c r="H419" s="5">
        <v>-22.134833</v>
      </c>
      <c r="I419" s="5">
        <v>114.20050000000001</v>
      </c>
      <c r="U419" s="8">
        <v>375</v>
      </c>
      <c r="V419" s="8">
        <v>78</v>
      </c>
      <c r="W419" s="8">
        <v>11</v>
      </c>
      <c r="X419" s="7">
        <v>445381</v>
      </c>
    </row>
    <row r="420" spans="1:24" x14ac:dyDescent="0.25">
      <c r="A420" t="s">
        <v>478</v>
      </c>
      <c r="B420" t="s">
        <v>525</v>
      </c>
      <c r="C420" t="s">
        <v>518</v>
      </c>
      <c r="D420" s="4">
        <v>45077</v>
      </c>
      <c r="E420" t="s">
        <v>203</v>
      </c>
      <c r="F420" t="s">
        <v>204</v>
      </c>
      <c r="G420" t="s">
        <v>205</v>
      </c>
      <c r="V420" s="8">
        <v>80</v>
      </c>
      <c r="W420" s="8">
        <v>9</v>
      </c>
    </row>
    <row r="421" spans="1:24" x14ac:dyDescent="0.25">
      <c r="A421" t="s">
        <v>478</v>
      </c>
      <c r="B421" t="s">
        <v>525</v>
      </c>
      <c r="C421" t="s">
        <v>519</v>
      </c>
      <c r="D421" s="4">
        <v>45077</v>
      </c>
      <c r="E421" t="s">
        <v>203</v>
      </c>
      <c r="F421" t="s">
        <v>204</v>
      </c>
      <c r="G421" t="s">
        <v>205</v>
      </c>
      <c r="H421" s="5">
        <v>-22.090333000000001</v>
      </c>
      <c r="I421" s="5">
        <v>114.246667</v>
      </c>
      <c r="T421" t="s">
        <v>254</v>
      </c>
      <c r="V421" s="8">
        <v>79</v>
      </c>
      <c r="W421" s="8">
        <v>10</v>
      </c>
      <c r="X421" s="7">
        <v>445382</v>
      </c>
    </row>
    <row r="422" spans="1:24" x14ac:dyDescent="0.25">
      <c r="A422" t="s">
        <v>478</v>
      </c>
      <c r="C422" t="s">
        <v>520</v>
      </c>
      <c r="D422" s="4">
        <v>45081</v>
      </c>
      <c r="E422" t="s">
        <v>203</v>
      </c>
      <c r="F422" t="s">
        <v>204</v>
      </c>
      <c r="G422" t="s">
        <v>205</v>
      </c>
      <c r="T422" t="s">
        <v>253</v>
      </c>
    </row>
    <row r="423" spans="1:24" x14ac:dyDescent="0.25">
      <c r="A423" t="s">
        <v>478</v>
      </c>
      <c r="B423" t="s">
        <v>525</v>
      </c>
      <c r="C423" t="s">
        <v>521</v>
      </c>
      <c r="D423" s="4">
        <v>45080</v>
      </c>
      <c r="E423" t="s">
        <v>203</v>
      </c>
      <c r="F423" t="s">
        <v>204</v>
      </c>
      <c r="G423" t="s">
        <v>205</v>
      </c>
      <c r="T423" t="s">
        <v>254</v>
      </c>
      <c r="U423" s="8">
        <v>160</v>
      </c>
      <c r="V423" s="8">
        <v>72</v>
      </c>
      <c r="W423" s="8">
        <v>9</v>
      </c>
      <c r="X423" s="7">
        <v>445400</v>
      </c>
    </row>
    <row r="424" spans="1:24" x14ac:dyDescent="0.25">
      <c r="A424" t="s">
        <v>478</v>
      </c>
      <c r="B424" t="s">
        <v>525</v>
      </c>
      <c r="C424" t="s">
        <v>522</v>
      </c>
      <c r="D424" s="4">
        <v>45080</v>
      </c>
      <c r="E424" t="s">
        <v>203</v>
      </c>
      <c r="F424" t="s">
        <v>204</v>
      </c>
      <c r="G424" t="s">
        <v>205</v>
      </c>
      <c r="U424" s="8">
        <v>290</v>
      </c>
      <c r="V424" s="8">
        <v>87</v>
      </c>
      <c r="W424" s="8">
        <v>9</v>
      </c>
    </row>
    <row r="425" spans="1:24" x14ac:dyDescent="0.25">
      <c r="A425" t="s">
        <v>478</v>
      </c>
      <c r="C425" t="s">
        <v>523</v>
      </c>
      <c r="D425" s="4">
        <v>45081</v>
      </c>
      <c r="E425" t="s">
        <v>203</v>
      </c>
      <c r="F425" t="s">
        <v>204</v>
      </c>
      <c r="G425" t="s">
        <v>205</v>
      </c>
      <c r="T425" t="s">
        <v>253</v>
      </c>
    </row>
    <row r="426" spans="1:24" x14ac:dyDescent="0.25">
      <c r="A426" t="s">
        <v>478</v>
      </c>
      <c r="C426" t="s">
        <v>524</v>
      </c>
      <c r="D426" s="4">
        <v>45074</v>
      </c>
      <c r="E426" t="s">
        <v>203</v>
      </c>
      <c r="F426" t="s">
        <v>204</v>
      </c>
      <c r="G426" t="s">
        <v>205</v>
      </c>
    </row>
    <row r="427" spans="1:24" x14ac:dyDescent="0.25">
      <c r="A427" t="s">
        <v>478</v>
      </c>
      <c r="C427" t="s">
        <v>526</v>
      </c>
      <c r="E427" t="s">
        <v>203</v>
      </c>
      <c r="F427" t="s">
        <v>240</v>
      </c>
      <c r="G427" t="s">
        <v>339</v>
      </c>
    </row>
    <row r="428" spans="1:24" x14ac:dyDescent="0.25">
      <c r="A428" t="s">
        <v>478</v>
      </c>
      <c r="C428" t="s">
        <v>527</v>
      </c>
      <c r="E428" t="s">
        <v>203</v>
      </c>
      <c r="F428" t="s">
        <v>240</v>
      </c>
      <c r="G428" t="s">
        <v>339</v>
      </c>
    </row>
    <row r="429" spans="1:24" x14ac:dyDescent="0.25">
      <c r="A429" t="s">
        <v>478</v>
      </c>
      <c r="C429" t="s">
        <v>528</v>
      </c>
      <c r="E429" t="s">
        <v>203</v>
      </c>
      <c r="F429" t="s">
        <v>240</v>
      </c>
      <c r="G429" t="s">
        <v>339</v>
      </c>
    </row>
    <row r="430" spans="1:24" x14ac:dyDescent="0.25">
      <c r="A430" t="s">
        <v>478</v>
      </c>
      <c r="C430" t="s">
        <v>529</v>
      </c>
      <c r="E430" t="s">
        <v>203</v>
      </c>
      <c r="F430" t="s">
        <v>240</v>
      </c>
      <c r="G430" t="s">
        <v>339</v>
      </c>
    </row>
    <row r="431" spans="1:24" x14ac:dyDescent="0.25">
      <c r="A431" t="s">
        <v>478</v>
      </c>
      <c r="C431" t="s">
        <v>530</v>
      </c>
      <c r="E431" t="s">
        <v>203</v>
      </c>
      <c r="F431" t="s">
        <v>240</v>
      </c>
      <c r="G431" t="s">
        <v>339</v>
      </c>
    </row>
    <row r="432" spans="1:24" x14ac:dyDescent="0.25">
      <c r="A432" t="s">
        <v>478</v>
      </c>
      <c r="C432" t="s">
        <v>531</v>
      </c>
      <c r="D432" s="4">
        <v>42612</v>
      </c>
      <c r="E432" t="s">
        <v>203</v>
      </c>
      <c r="F432" t="s">
        <v>240</v>
      </c>
      <c r="G432" t="s">
        <v>205</v>
      </c>
    </row>
    <row r="433" spans="1:23" x14ac:dyDescent="0.25">
      <c r="A433" t="s">
        <v>478</v>
      </c>
      <c r="C433" t="s">
        <v>532</v>
      </c>
      <c r="D433" s="4">
        <v>42612</v>
      </c>
      <c r="E433" t="s">
        <v>203</v>
      </c>
      <c r="F433" t="s">
        <v>240</v>
      </c>
      <c r="G433" t="s">
        <v>205</v>
      </c>
    </row>
    <row r="434" spans="1:23" x14ac:dyDescent="0.25">
      <c r="A434" t="s">
        <v>478</v>
      </c>
      <c r="B434" t="s">
        <v>525</v>
      </c>
      <c r="C434" t="s">
        <v>533</v>
      </c>
      <c r="D434" s="4">
        <v>42900</v>
      </c>
      <c r="E434" t="s">
        <v>203</v>
      </c>
      <c r="F434" t="s">
        <v>240</v>
      </c>
      <c r="G434" t="s">
        <v>239</v>
      </c>
      <c r="J434" s="5">
        <v>-25.109933300000002</v>
      </c>
      <c r="K434" s="5">
        <v>113.327333</v>
      </c>
      <c r="L434" s="5">
        <f>AVERAGE(J434,N434)</f>
        <v>-25.115600000000001</v>
      </c>
      <c r="M434" s="5">
        <f>AVERAGE(K434,O434)</f>
        <v>113.32999150000001</v>
      </c>
      <c r="N434" s="5">
        <v>-25.1212667</v>
      </c>
      <c r="O434" s="5">
        <v>113.33265</v>
      </c>
      <c r="T434" t="s">
        <v>254</v>
      </c>
    </row>
    <row r="435" spans="1:23" x14ac:dyDescent="0.25">
      <c r="A435" t="s">
        <v>478</v>
      </c>
      <c r="B435" t="s">
        <v>525</v>
      </c>
      <c r="C435" t="s">
        <v>534</v>
      </c>
      <c r="D435" s="4">
        <v>42905</v>
      </c>
      <c r="E435" t="s">
        <v>203</v>
      </c>
      <c r="F435" t="s">
        <v>240</v>
      </c>
      <c r="G435" t="s">
        <v>239</v>
      </c>
      <c r="J435" s="5">
        <v>-25.575050000000001</v>
      </c>
      <c r="K435" s="5">
        <v>113.20306669999999</v>
      </c>
      <c r="L435" s="5">
        <f t="shared" ref="L435:L436" si="2">AVERAGE(J435,N435)</f>
        <v>-25.565483350000001</v>
      </c>
      <c r="M435" s="5">
        <f>AVERAGE(K435,O435)</f>
        <v>113.2023167</v>
      </c>
      <c r="N435" s="5">
        <v>-25.555916700000001</v>
      </c>
      <c r="O435" s="5">
        <v>113.2015667</v>
      </c>
      <c r="T435" t="s">
        <v>254</v>
      </c>
    </row>
    <row r="436" spans="1:23" x14ac:dyDescent="0.25">
      <c r="A436" t="s">
        <v>478</v>
      </c>
      <c r="B436" t="s">
        <v>525</v>
      </c>
      <c r="C436" t="s">
        <v>535</v>
      </c>
      <c r="D436" s="4">
        <v>42905</v>
      </c>
      <c r="E436" t="s">
        <v>203</v>
      </c>
      <c r="F436" t="s">
        <v>240</v>
      </c>
      <c r="G436" t="s">
        <v>239</v>
      </c>
      <c r="J436" s="5">
        <v>-25.593516699999999</v>
      </c>
      <c r="K436" s="5">
        <v>113.1155833</v>
      </c>
      <c r="L436" s="5">
        <f t="shared" si="2"/>
        <v>-25.587591699999997</v>
      </c>
      <c r="M436" s="5">
        <f>AVERAGE(K436,O436)</f>
        <v>113.10670830000001</v>
      </c>
      <c r="N436" s="5">
        <v>-25.5816667</v>
      </c>
      <c r="O436" s="5">
        <v>113.0978333</v>
      </c>
      <c r="T436" t="s">
        <v>254</v>
      </c>
    </row>
    <row r="437" spans="1:23" x14ac:dyDescent="0.25">
      <c r="A437" t="s">
        <v>478</v>
      </c>
      <c r="B437" t="s">
        <v>525</v>
      </c>
      <c r="C437" t="s">
        <v>536</v>
      </c>
      <c r="D437" s="4">
        <v>42906</v>
      </c>
      <c r="E437" t="s">
        <v>203</v>
      </c>
      <c r="F437" t="s">
        <v>240</v>
      </c>
      <c r="G437" t="s">
        <v>239</v>
      </c>
      <c r="J437" s="5">
        <v>-25.727466700000001</v>
      </c>
      <c r="K437" s="5">
        <v>113.2191833</v>
      </c>
      <c r="L437" s="5">
        <f t="shared" ref="L437" si="3">AVERAGE(J437,N437)</f>
        <v>-25.73635835</v>
      </c>
      <c r="M437" s="5">
        <f t="shared" ref="M437" si="4">AVERAGE(K437,O437)</f>
        <v>113.219325</v>
      </c>
      <c r="N437" s="5">
        <v>-25.745249999999999</v>
      </c>
      <c r="O437" s="5">
        <v>113.2194667</v>
      </c>
      <c r="T437" t="s">
        <v>253</v>
      </c>
    </row>
    <row r="438" spans="1:23" x14ac:dyDescent="0.25">
      <c r="A438" t="s">
        <v>478</v>
      </c>
      <c r="C438" t="s">
        <v>537</v>
      </c>
      <c r="D438" s="4">
        <v>44634</v>
      </c>
      <c r="E438" t="s">
        <v>203</v>
      </c>
      <c r="F438" t="s">
        <v>240</v>
      </c>
      <c r="G438" t="s">
        <v>230</v>
      </c>
      <c r="H438" s="5">
        <v>-20.050211999999998</v>
      </c>
      <c r="I438" s="5">
        <v>118.28888600000001</v>
      </c>
      <c r="T438" t="s">
        <v>253</v>
      </c>
      <c r="V438" s="8">
        <v>74</v>
      </c>
      <c r="W438" s="8">
        <v>8</v>
      </c>
    </row>
    <row r="439" spans="1:23" x14ac:dyDescent="0.25">
      <c r="A439" t="s">
        <v>477</v>
      </c>
      <c r="B439" t="s">
        <v>525</v>
      </c>
      <c r="C439" t="s">
        <v>538</v>
      </c>
      <c r="D439" s="4">
        <v>45739</v>
      </c>
      <c r="E439" t="s">
        <v>203</v>
      </c>
      <c r="F439" t="s">
        <v>204</v>
      </c>
      <c r="G439" t="s">
        <v>205</v>
      </c>
      <c r="J439">
        <v>-21.996333</v>
      </c>
      <c r="K439">
        <v>114.401083</v>
      </c>
      <c r="L439" s="5">
        <f>AVERAGE(J439,N439)</f>
        <v>-22.030808999999998</v>
      </c>
      <c r="M439" s="5">
        <f>AVERAGE(K439,O439)</f>
        <v>114.37344849999999</v>
      </c>
      <c r="N439">
        <v>-22.065284999999999</v>
      </c>
      <c r="O439">
        <v>114.345814</v>
      </c>
      <c r="R439" s="6">
        <f>(14.4+12.8)/2</f>
        <v>13.600000000000001</v>
      </c>
      <c r="S439" s="7">
        <v>90</v>
      </c>
    </row>
  </sheetData>
  <phoneticPr fontId="2" type="noConversion"/>
  <conditionalFormatting sqref="C196">
    <cfRule type="duplicateValues" dxfId="1" priority="1"/>
    <cfRule type="expression" dxfId="0" priority="2">
      <formula>MOD(ROW(),2)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238D-427D-475E-891A-04528F3AF7A7}">
  <dimension ref="A1:B16384"/>
  <sheetViews>
    <sheetView workbookViewId="0">
      <selection activeCell="H24" sqref="H24"/>
    </sheetView>
  </sheetViews>
  <sheetFormatPr defaultRowHeight="15" x14ac:dyDescent="0.25"/>
  <cols>
    <col min="1" max="1" width="16.28515625" bestFit="1" customWidth="1"/>
  </cols>
  <sheetData>
    <row r="1" spans="1:2" x14ac:dyDescent="0.25">
      <c r="A1" s="1" t="s">
        <v>0</v>
      </c>
      <c r="B1" t="s">
        <v>27</v>
      </c>
    </row>
    <row r="2" spans="1:2" x14ac:dyDescent="0.25">
      <c r="A2" s="1" t="s">
        <v>1</v>
      </c>
      <c r="B2" t="s">
        <v>28</v>
      </c>
    </row>
    <row r="3" spans="1:2" x14ac:dyDescent="0.25">
      <c r="A3" s="1" t="s">
        <v>2</v>
      </c>
      <c r="B3" t="s">
        <v>29</v>
      </c>
    </row>
    <row r="4" spans="1:2" x14ac:dyDescent="0.25">
      <c r="A4" s="1" t="s">
        <v>5</v>
      </c>
      <c r="B4" t="s">
        <v>30</v>
      </c>
    </row>
    <row r="5" spans="1:2" x14ac:dyDescent="0.25">
      <c r="A5" s="1" t="s">
        <v>3</v>
      </c>
    </row>
    <row r="6" spans="1:2" x14ac:dyDescent="0.25">
      <c r="A6" s="1" t="s">
        <v>4</v>
      </c>
    </row>
    <row r="7" spans="1:2" x14ac:dyDescent="0.25">
      <c r="A7" s="1" t="s">
        <v>6</v>
      </c>
    </row>
    <row r="8" spans="1:2" x14ac:dyDescent="0.25">
      <c r="A8" s="1" t="s">
        <v>7</v>
      </c>
      <c r="B8" t="s">
        <v>31</v>
      </c>
    </row>
    <row r="9" spans="1:2" x14ac:dyDescent="0.25">
      <c r="A9" s="1" t="s">
        <v>8</v>
      </c>
      <c r="B9" t="s">
        <v>32</v>
      </c>
    </row>
    <row r="10" spans="1:2" x14ac:dyDescent="0.25">
      <c r="A10" s="1" t="s">
        <v>9</v>
      </c>
      <c r="B10" t="s">
        <v>33</v>
      </c>
    </row>
    <row r="11" spans="1:2" x14ac:dyDescent="0.25">
      <c r="A11" s="1" t="s">
        <v>10</v>
      </c>
      <c r="B11" t="s">
        <v>34</v>
      </c>
    </row>
    <row r="12" spans="1:2" x14ac:dyDescent="0.25">
      <c r="A12" s="1" t="s">
        <v>11</v>
      </c>
      <c r="B12" t="s">
        <v>35</v>
      </c>
    </row>
    <row r="13" spans="1:2" x14ac:dyDescent="0.25">
      <c r="A13" s="1" t="s">
        <v>12</v>
      </c>
      <c r="B13" t="s">
        <v>36</v>
      </c>
    </row>
    <row r="14" spans="1:2" x14ac:dyDescent="0.25">
      <c r="A14" s="1" t="s">
        <v>13</v>
      </c>
      <c r="B14" t="s">
        <v>37</v>
      </c>
    </row>
    <row r="15" spans="1:2" x14ac:dyDescent="0.25">
      <c r="A15" s="1" t="s">
        <v>14</v>
      </c>
      <c r="B15" t="s">
        <v>38</v>
      </c>
    </row>
    <row r="16" spans="1:2" x14ac:dyDescent="0.25">
      <c r="A16" s="1" t="s">
        <v>15</v>
      </c>
      <c r="B16" t="s">
        <v>39</v>
      </c>
    </row>
    <row r="17" spans="1:2" x14ac:dyDescent="0.25">
      <c r="A17" s="1" t="s">
        <v>16</v>
      </c>
      <c r="B17" t="s">
        <v>40</v>
      </c>
    </row>
    <row r="18" spans="1:2" x14ac:dyDescent="0.25">
      <c r="A18" s="1" t="s">
        <v>25</v>
      </c>
      <c r="B18" t="s">
        <v>306</v>
      </c>
    </row>
    <row r="19" spans="1:2" x14ac:dyDescent="0.25">
      <c r="A19" s="1" t="s">
        <v>17</v>
      </c>
      <c r="B19" t="s">
        <v>41</v>
      </c>
    </row>
    <row r="20" spans="1:2" x14ac:dyDescent="0.25">
      <c r="A20" s="1" t="s">
        <v>18</v>
      </c>
    </row>
    <row r="21" spans="1:2" x14ac:dyDescent="0.25">
      <c r="A21" s="1" t="s">
        <v>20</v>
      </c>
      <c r="B21" t="s">
        <v>42</v>
      </c>
    </row>
    <row r="22" spans="1:2" x14ac:dyDescent="0.25">
      <c r="A22" s="1" t="s">
        <v>21</v>
      </c>
      <c r="B22" t="s">
        <v>43</v>
      </c>
    </row>
    <row r="23" spans="1:2" x14ac:dyDescent="0.25">
      <c r="A23" s="1" t="s">
        <v>22</v>
      </c>
      <c r="B23" t="s">
        <v>44</v>
      </c>
    </row>
    <row r="24" spans="1:2" x14ac:dyDescent="0.25">
      <c r="A24" s="1" t="s">
        <v>23</v>
      </c>
      <c r="B24" t="s">
        <v>45</v>
      </c>
    </row>
    <row r="25" spans="1:2" x14ac:dyDescent="0.25">
      <c r="A25" s="1" t="s">
        <v>19</v>
      </c>
      <c r="B25" t="s">
        <v>46</v>
      </c>
    </row>
    <row r="26" spans="1:2" x14ac:dyDescent="0.25">
      <c r="A26" s="1" t="s">
        <v>24</v>
      </c>
    </row>
    <row r="27" spans="1:2" x14ac:dyDescent="0.25">
      <c r="A27" s="1"/>
    </row>
    <row r="28" spans="1:2" x14ac:dyDescent="0.25">
      <c r="A28" s="1"/>
    </row>
    <row r="29" spans="1:2" x14ac:dyDescent="0.25">
      <c r="A29" s="1"/>
    </row>
    <row r="30" spans="1:2" x14ac:dyDescent="0.25">
      <c r="A30" s="1"/>
    </row>
    <row r="31" spans="1:2" x14ac:dyDescent="0.25">
      <c r="A31" s="1"/>
    </row>
    <row r="32" spans="1:2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Vhon Oliver Garcia</dc:creator>
  <cp:lastModifiedBy>Vhon Oliver Garcia</cp:lastModifiedBy>
  <dcterms:created xsi:type="dcterms:W3CDTF">2025-12-09T02:48:39Z</dcterms:created>
  <dcterms:modified xsi:type="dcterms:W3CDTF">2025-12-12T03:51:39Z</dcterms:modified>
</cp:coreProperties>
</file>